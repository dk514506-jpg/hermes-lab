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showInkAnnotation="0" autoCompressPictures="0"/>
  <xr:revisionPtr revIDLastSave="0" documentId="8_{14AECBAE-0EC5-4A0D-8445-3BD55053CA8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ource Pass Summary" sheetId="1" r:id="rId1"/>
    <sheet name="Guide &amp; Legend" sheetId="2" r:id="rId2"/>
    <sheet name="Source Discovery Log" sheetId="3" r:id="rId3"/>
    <sheet name="Dashboard" sheetId="4" r:id="rId4"/>
    <sheet name="Evidence Matrix" sheetId="5" r:id="rId5"/>
    <sheet name="Source Patch Log" sheetId="6" r:id="rId6"/>
  </sheets>
  <definedNames>
    <definedName name="_xlnm._FilterDatabase" localSheetId="1" hidden="1">'Guide &amp; Legend'!$A$1:$H$37</definedName>
    <definedName name="_xlnm._FilterDatabase" localSheetId="2" hidden="1">'Source Discovery Log'!$A$1:$B$8</definedName>
    <definedName name="_xlnm._FilterDatabase" localSheetId="3" hidden="1">Dashboard!$A$1:$H$26</definedName>
    <definedName name="_xlnm._FilterDatabase" localSheetId="4" hidden="1">'Evidence Matrix'!$A$1:$AD$130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4" l="1"/>
  <c r="H25" i="4"/>
  <c r="H24" i="4"/>
  <c r="D24" i="4"/>
  <c r="C24" i="4"/>
  <c r="H23" i="4"/>
  <c r="D23" i="4"/>
  <c r="C23" i="4"/>
  <c r="H22" i="4"/>
  <c r="D22" i="4"/>
  <c r="C22" i="4"/>
  <c r="H21" i="4"/>
  <c r="D21" i="4"/>
  <c r="C21" i="4"/>
  <c r="H20" i="4"/>
  <c r="D20" i="4"/>
  <c r="C20" i="4"/>
  <c r="H19" i="4"/>
  <c r="D19" i="4"/>
  <c r="C19" i="4"/>
  <c r="H18" i="4"/>
  <c r="D18" i="4"/>
  <c r="C18" i="4"/>
  <c r="H17" i="4"/>
  <c r="D17" i="4"/>
  <c r="C17" i="4"/>
  <c r="H16" i="4"/>
  <c r="D16" i="4"/>
  <c r="C16" i="4"/>
  <c r="H15" i="4"/>
  <c r="D15" i="4"/>
  <c r="D25" i="4" s="1"/>
  <c r="C15" i="4"/>
  <c r="B10" i="4"/>
  <c r="B9" i="4"/>
  <c r="H8" i="4"/>
  <c r="B8" i="4"/>
  <c r="H7" i="4"/>
  <c r="B7" i="4"/>
  <c r="H6" i="4"/>
  <c r="B6" i="4"/>
  <c r="B5" i="4"/>
  <c r="C25" i="4" l="1"/>
  <c r="B11" i="4"/>
</calcChain>
</file>

<file path=xl/sharedStrings.xml><?xml version="1.0" encoding="utf-8"?>
<sst xmlns="http://schemas.openxmlformats.org/spreadsheetml/2006/main" count="4465" uniqueCount="1750">
  <si>
    <t>Monstare Evidence Matrix - Source Location Pass v2</t>
  </si>
  <si>
    <t>Date</t>
  </si>
  <si>
    <t>2026-08-13</t>
  </si>
  <si>
    <t>Scope</t>
  </si>
  <si>
    <t>Completed another source-location pass on remaining Priority A rows; after all A rows had a located source or access path, initiated Priority B pass through core theory + philosophy/QS rows.</t>
  </si>
  <si>
    <t>Priority A outcome</t>
  </si>
  <si>
    <t>All remaining Priority A rows now have a readable URL, restricted but legal access path, or authoritative landing/source path recorded.</t>
  </si>
  <si>
    <t>Priority B outcome</t>
  </si>
  <si>
    <t>Priority B started: core rows and Area 1/Area 2 early cluster updated where sources were found in this pass. Remaining B rows are left queued for the next pass.</t>
  </si>
  <si>
    <t>Halting principle</t>
  </si>
  <si>
    <t>Stopped after A completion plus a coherent B tranche, rather than forcing weak/unverified links into the matrix. Rows with landing-only/restricted access are clearly marked.</t>
  </si>
  <si>
    <t>Quality law</t>
  </si>
  <si>
    <t>Citation is still not evidence. Rows are source-located, not charted, until findings/effects/limits/disconfirmation are completed.</t>
  </si>
  <si>
    <t>Rows updated</t>
  </si>
  <si>
    <t>PATCH UPDATE v3</t>
  </si>
  <si>
    <t/>
  </si>
  <si>
    <t>Patch date</t>
  </si>
  <si>
    <t>Additive additions</t>
  </si>
  <si>
    <t>38 previously queued/missing rows source-located; 5 staleness columns added.</t>
  </si>
  <si>
    <t>Subtractions</t>
  </si>
  <si>
    <t>None. No evidence rows, existing source URLs, comments, or formulas intentionally removed.</t>
  </si>
  <si>
    <t>Source-located does not mean charted; findings/effects/limits/disconfirmation still require charting.</t>
  </si>
  <si>
    <t>MONSTARE EVIDENCE MATRIX</t>
  </si>
  <si>
    <t>Rev 5 schema  |  Stage 3 charting instrument  |  Prepared for Dallas by Pip, with Locus/Council logic  |  12 Aug 2026</t>
  </si>
  <si>
    <t>PURPOSE</t>
  </si>
  <si>
    <t>This workbook is the Evidence Matrix called for in the Rev 5 research plan and the Version 2 execution plan.</t>
  </si>
  <si>
    <t>It converts the integrated source architecture (Rev 5 Section 3B, the ten areas) into a chartable database.</t>
  </si>
  <si>
    <t>The 'Evidence Matrix' sheet is SEEDED: descriptive/mapping columns are pre-filled from the plan; evidential</t>
  </si>
  <si>
    <t>columns are left as [to chart] so charting still happens per source. Council rule: citation is not evidence.</t>
  </si>
  <si>
    <t>HOW TO USE (Stage 3 charting)</t>
  </si>
  <si>
    <t>1. Work top-to-bottom in the Rev 5 priority reading order (Phase 1 first: rows tagged Priority A in Areas 1,2,3,6).</t>
  </si>
  <si>
    <t>2. For each source, retrieve it, then fill the [to chart] cells: Key Finding, Effect Size, Limitations, Disconfirming.</t>
  </si>
  <si>
    <t>3. Set Verification Status to 'Verified' once the DOI/citation is confirmed (Section 4.6 discipline).</t>
  </si>
  <si>
    <t>4. A source is not 'charted' until columns L-O are complete AND Verification = Verified.</t>
  </si>
  <si>
    <t>5. The Dashboard sheet auto-counts progress by Area, Priority, and Workstream.</t>
  </si>
  <si>
    <t>COLUMN DEFINITIONS</t>
  </si>
  <si>
    <t>ID: stable source id (Area-number).            Citation: author/short title.</t>
  </si>
  <si>
    <t>Verification: Pending / Verified / Unverifiable (per Section 4.6).</t>
  </si>
  <si>
    <t>Area (1-10): the Rev 5 Section 3B source area.  Workstream: WS-A..WS-L (Rev 5 Section 7).</t>
  </si>
  <si>
    <t>Priority: A load-bearing / B supporting / C contextual.  Function: TELOS/MECHANISM/WARNING/METHOD/DESIGN/MEASURE/CRITIQUE.</t>
  </si>
  <si>
    <t>Evidence Type: empirical/theoretical/philosophical/review/methods/critique.  Domain: field of origin.</t>
  </si>
  <si>
    <t>Causal Status: causal / correlational / conceptual / contested.  Cosmotechnic Relevance: high/medium/low.</t>
  </si>
  <si>
    <t>Key Finding, Effect Size, Limitations, Disconfirming: the evidential charting columns (fill during Stage 3).</t>
  </si>
  <si>
    <t>H1 / H2 Relevance: yes/partial/no.  Design &amp; Cosmotechnic Implication: what Monstare does with it.</t>
  </si>
  <si>
    <t>Failure Mode Flagged: CF-1..CF-10 the source polices.  Artifact Affected: which operating artifact it feeds.</t>
  </si>
  <si>
    <t>Open Charge Touched: OC-1..OC-13 the source opens, closes, or modifies.</t>
  </si>
  <si>
    <t>KEYS</t>
  </si>
  <si>
    <t>PRIORITY</t>
  </si>
  <si>
    <t>A = load-bearing (chart early)  |  B = strong supporting  |  C = contextual / bridge</t>
  </si>
  <si>
    <t>FUNCTION</t>
  </si>
  <si>
    <t>TELOS defines purpose | MECHANISM how it works | WARNING failure modes | METHOD procedure | DESIGN artifact guidance | MEASURE operationalization | CRITIQUE challenges assumptions</t>
  </si>
  <si>
    <t>AREAS 1-10</t>
  </si>
  <si>
    <t>1 Philosophy of tech beyond Hui | 2 Personal informatics/QS critique | 3 Critical HCI agency/moral friction | 4 Environmental psych place/restoration | 5 Phenomenological methods | 6 Automation ethics/autonomy | 7 AI offloading/self-regulation | 8 Ritual/symbolic practice | 9 Work productivity ecology | 10 Cross-cultural autonomy/technodiversity</t>
  </si>
  <si>
    <t>FAILURE MODES</t>
  </si>
  <si>
    <t>CF-1 productivity without moral gain | CF-2 metric capture | CF-3 internalized coercion | CF-4 tech paternalism | CF-5 attentional extraction | CF-6 ecological flattening | CF-7 ritual hollowing | CF-8 universalization | CF-9 reversibility loss | CF-10 false cosmotechnics</t>
  </si>
  <si>
    <t>WORKSTREAMS</t>
  </si>
  <si>
    <t>WS-A Motivation | WS-B Willpower/structure | WS-C Emotion regulation | WS-D Behavioral diagnosis | WS-E Environmental ecology | WS-F Phenomenology | WS-G Reference/consequence | WS-H Digital/temporal | WS-I Adverse effects | WS-J Moderators | WS-K Cosmotechnics | WS-L Moral ecology</t>
  </si>
  <si>
    <t>SOURCE DISCOVERY UPDATE v1</t>
  </si>
  <si>
    <t>Eight columns were added to Evidence Matrix: Readable Source URL, Source Landing URL, Access Type, Source Discovery Status, Discovery Notes, Suggested Search Query, Scholar/Web Search URL, and Source Checked Date. Direct links were added only where discovered in this first pass; all other rows are queued and not verified.</t>
  </si>
  <si>
    <t>Field</t>
  </si>
  <si>
    <t>Value</t>
  </si>
  <si>
    <t>Run purpose</t>
  </si>
  <si>
    <t>First-pass readable-source locator to make future context-window handoffs easier.</t>
  </si>
  <si>
    <t>Run date</t>
  </si>
  <si>
    <t>Rows with direct readable source added</t>
  </si>
  <si>
    <t>13</t>
  </si>
  <si>
    <t>Companion Hui 2024 row added</t>
  </si>
  <si>
    <t>Yes, as HUI-2024, because it materially grounds the v6 design memo.</t>
  </si>
  <si>
    <t>Default for unsearched rows</t>
  </si>
  <si>
    <t>Queued with suggested web query; not marked verified.</t>
  </si>
  <si>
    <t>Charting rule preserved</t>
  </si>
  <si>
    <t>A row is not charted until evidential notes are completed and verification is confirmed.</t>
  </si>
  <si>
    <t>Next recommended search pass</t>
  </si>
  <si>
    <t>Continue Priority A rows in Areas 1, 2, 3, 6, then core motivation/method sources.</t>
  </si>
  <si>
    <t>MONSTARE EVIDENCE MATRIX — DASHBOARD</t>
  </si>
  <si>
    <t>Live counts recalculated from the Evidence Matrix sheet. Charting progress = Verified rows.</t>
  </si>
  <si>
    <t>TOTALS</t>
  </si>
  <si>
    <t>COSMOTECHNIC RELEVANCE</t>
  </si>
  <si>
    <t>Total sources</t>
  </si>
  <si>
    <t>Level</t>
  </si>
  <si>
    <t>Count</t>
  </si>
  <si>
    <t>Priority A (load-bearing)</t>
  </si>
  <si>
    <t>high</t>
  </si>
  <si>
    <t>Priority B</t>
  </si>
  <si>
    <t>medium</t>
  </si>
  <si>
    <t>Priority C</t>
  </si>
  <si>
    <t>low</t>
  </si>
  <si>
    <t>Verified (charted)</t>
  </si>
  <si>
    <t>Pending</t>
  </si>
  <si>
    <t>% charted</t>
  </si>
  <si>
    <t>BY SOURCE AREA (1-10)</t>
  </si>
  <si>
    <t>BY WORKSTREAM</t>
  </si>
  <si>
    <t>Area</t>
  </si>
  <si>
    <t>Description</t>
  </si>
  <si>
    <t>Sources</t>
  </si>
  <si>
    <t>Verified</t>
  </si>
  <si>
    <t>WS</t>
  </si>
  <si>
    <t>Focus</t>
  </si>
  <si>
    <t>Philosophy of technology beyond Hui</t>
  </si>
  <si>
    <t>WS-A</t>
  </si>
  <si>
    <t>Motivational quality</t>
  </si>
  <si>
    <t>Personal informatics / QS critique</t>
  </si>
  <si>
    <t>WS-B</t>
  </si>
  <si>
    <t>Willpower / structure</t>
  </si>
  <si>
    <t>Critical HCI: agency &amp; moral friction</t>
  </si>
  <si>
    <t>WS-C</t>
  </si>
  <si>
    <t>Emotion regulation</t>
  </si>
  <si>
    <t>Environmental psychology: place &amp; restoration</t>
  </si>
  <si>
    <t>WS-D</t>
  </si>
  <si>
    <t>Behavioral diagnosis</t>
  </si>
  <si>
    <t>Phenomenological methods</t>
  </si>
  <si>
    <t>WS-E</t>
  </si>
  <si>
    <t>Environmental ecology</t>
  </si>
  <si>
    <t>Automation ethics &amp; autonomy</t>
  </si>
  <si>
    <t>WS-F</t>
  </si>
  <si>
    <t>Phenomenology</t>
  </si>
  <si>
    <t>AI offloading &amp; self-regulation</t>
  </si>
  <si>
    <t>WS-G</t>
  </si>
  <si>
    <t>Reference / consequence</t>
  </si>
  <si>
    <t>Ritual &amp; symbolic practice</t>
  </si>
  <si>
    <t>WS-H</t>
  </si>
  <si>
    <t>Digital / temporal</t>
  </si>
  <si>
    <t>Work productivity ecology</t>
  </si>
  <si>
    <t>WS-I</t>
  </si>
  <si>
    <t>Adverse effects</t>
  </si>
  <si>
    <t>Cross-cultural autonomy &amp; technodiversity</t>
  </si>
  <si>
    <t>WS-J</t>
  </si>
  <si>
    <t>Moderators</t>
  </si>
  <si>
    <t>core+methods</t>
  </si>
  <si>
    <t>Carried core theory &amp; methods (Rev 3-4)</t>
  </si>
  <si>
    <t>WS-K</t>
  </si>
  <si>
    <t>Cosmotechnics</t>
  </si>
  <si>
    <t>WS-L</t>
  </si>
  <si>
    <t>Moral ecology</t>
  </si>
  <si>
    <t>ID</t>
  </si>
  <si>
    <t>Citation</t>
  </si>
  <si>
    <t>Readable Source URL</t>
  </si>
  <si>
    <t>Source Landing URL</t>
  </si>
  <si>
    <t>Access Type</t>
  </si>
  <si>
    <t>Source Discovery Status</t>
  </si>
  <si>
    <t>Discovery Notes</t>
  </si>
  <si>
    <t>Suggested Search Query</t>
  </si>
  <si>
    <t>Scholar/Web Search URL</t>
  </si>
  <si>
    <t>Source Checked Date</t>
  </si>
  <si>
    <t>Verif.</t>
  </si>
  <si>
    <t>Pri</t>
  </si>
  <si>
    <t>Function</t>
  </si>
  <si>
    <t>Evidence Type</t>
  </si>
  <si>
    <t>Domain</t>
  </si>
  <si>
    <t>Causal Status</t>
  </si>
  <si>
    <t>Cosmo Rel.</t>
  </si>
  <si>
    <t>Key Finding / Thesis</t>
  </si>
  <si>
    <t>Effect Size / Strength</t>
  </si>
  <si>
    <t>Limitations</t>
  </si>
  <si>
    <t>Disconfirming Implication</t>
  </si>
  <si>
    <t>H1</t>
  </si>
  <si>
    <t>H2</t>
  </si>
  <si>
    <t>Design Implication</t>
  </si>
  <si>
    <t>Cosmotechnic Implication</t>
  </si>
  <si>
    <t>Fail Mode</t>
  </si>
  <si>
    <t>Artifact Affected</t>
  </si>
  <si>
    <t>Open Charge</t>
  </si>
  <si>
    <t>Staleness Domain</t>
  </si>
  <si>
    <t>Re-search Interval</t>
  </si>
  <si>
    <t>Last Verified Date</t>
  </si>
  <si>
    <t>Re-search By</t>
  </si>
  <si>
    <t>Staleness Status</t>
  </si>
  <si>
    <t>CORE-01</t>
  </si>
  <si>
    <t>Ryan &amp; Deci — Self-Determination Theory (needs)</t>
  </si>
  <si>
    <t>https://selfdeterminationtheory.org/SDT/documents/2000_RyanDeci_SDT.pdf</t>
  </si>
  <si>
    <t>https://selfdeterminationtheory.org/theory/</t>
  </si>
  <si>
    <t>Open PDF / alternate SDT primary paper</t>
  </si>
  <si>
    <t>Readable source found - verify exact intended source before charting</t>
  </si>
  <si>
    <t>Matrix row names the SDT needs construct broadly. This link is Ryan &amp; Deci 2000 SDT overview; exact 2017 book is also discoverable but not necessarily legally open in full. Use this as an accessible primary anchor unless the project requires the 2017 Guilford book.</t>
  </si>
  <si>
    <t>Ryan &amp; Deci — Self-Determination Theory (needs) pdf DOI readable source</t>
  </si>
  <si>
    <t>https://www.google.com/search?q=Ryan+%26+Deci+%E2%80%94+Self-Determination+Theory+%28needs%29+pdf+DOI+readable+source</t>
  </si>
  <si>
    <t>core</t>
  </si>
  <si>
    <t>A</t>
  </si>
  <si>
    <t>TELOS/MECHANISM</t>
  </si>
  <si>
    <t>theoretical</t>
  </si>
  <si>
    <t>motivation</t>
  </si>
  <si>
    <t>conceptual</t>
  </si>
  <si>
    <t>Autonomy, competence, relatedness convert pressure into durable, autonomous motivation.</t>
  </si>
  <si>
    <t>[to chart]</t>
  </si>
  <si>
    <t>yes</t>
  </si>
  <si>
    <t>Ground the need-support profile (M2); define autonomous vs controlled motivation.</t>
  </si>
  <si>
    <t>Motivation quality is the substrate of moral authorship, not just output.</t>
  </si>
  <si>
    <t>CF-3</t>
  </si>
  <si>
    <t>Agency &amp; Autonomy Checklist</t>
  </si>
  <si>
    <t>OC-8</t>
  </si>
  <si>
    <t>General supporting source</t>
  </si>
  <si>
    <t>36 months</t>
  </si>
  <si>
    <t>2029-08-13</t>
  </si>
  <si>
    <t>Current - re-search on schedule</t>
  </si>
  <si>
    <t>CORE-02</t>
  </si>
  <si>
    <t>Markland, Ryan, Tobin &amp; Rollnick — MI + SDT</t>
  </si>
  <si>
    <t>https://selfdeterminationtheory.org/SDT/documents/2005_MarklandRyanTobinRollnick_MotivationalInterviewing.pdf</t>
  </si>
  <si>
    <t>https://pure.ewha.ac.kr/en/publications/motivational-interviewing-and-self-determination-theory/</t>
  </si>
  <si>
    <t>Open PDF</t>
  </si>
  <si>
    <t>Readable source found</t>
  </si>
  <si>
    <t>DOI identified in search result as 10.1521/jscp.2005.24.6.811.</t>
  </si>
  <si>
    <t>Markland, Ryan, Tobin &amp; Rollnick — MI + SDT pdf DOI readable source</t>
  </si>
  <si>
    <t>https://www.google.com/search?q=Markland%2C+Ryan%2C+Tobin+%26+Rollnick+%E2%80%94+MI+%2B+SDT+pdf+DOI+readable+source</t>
  </si>
  <si>
    <t>MECHANISM</t>
  </si>
  <si>
    <t>MI is a social-environmental support for autonomy and internalization.</t>
  </si>
  <si>
    <t>partial</t>
  </si>
  <si>
    <t>Autonomy-preserving conversational method for ambivalence.</t>
  </si>
  <si>
    <t>Non-coercive change as cosmotechnic constraint.</t>
  </si>
  <si>
    <t>Self-Nudging Design Card</t>
  </si>
  <si>
    <t>CORE-03</t>
  </si>
  <si>
    <t>Vansteenkiste, Williams &amp; Resnicow — SDT/MI integration</t>
  </si>
  <si>
    <t>https://selfdeterminationtheory.org/wp-content/uploads/2014/04/2012_VansteenkisteWilliamsResnicow_InterventionDevelopment_IJBNPA.pdf</t>
  </si>
  <si>
    <t>https://link.springer.com/article/10.1186/1479-5868-9-23</t>
  </si>
  <si>
    <t>Located - readable source</t>
  </si>
  <si>
    <t>Priority B pass: open PDF located via SDT repository; Springer landing recorded.</t>
  </si>
  <si>
    <t>Vansteenkiste, Williams &amp; Resnicow — SDT/MI integration pdf DOI readable source</t>
  </si>
  <si>
    <t>https://www.google.com/search?q=Vansteenkiste%2C+Williams+%26+Resnicow+%E2%80%94+SDT%2FMI+integration+pdf+DOI+readable+source</t>
  </si>
  <si>
    <t>Located (not charted)</t>
  </si>
  <si>
    <t>B</t>
  </si>
  <si>
    <t>review</t>
  </si>
  <si>
    <t>Autonomy/volition is the shared process principle across SDT and MI.</t>
  </si>
  <si>
    <t>Unify motivational method around volition.</t>
  </si>
  <si>
    <t>Volition over compliance.</t>
  </si>
  <si>
    <t>Empirical / applied research</t>
  </si>
  <si>
    <t>24 months</t>
  </si>
  <si>
    <t>2028-08-13</t>
  </si>
  <si>
    <t>CORE-04</t>
  </si>
  <si>
    <t>Bandura — Self-efficacy</t>
  </si>
  <si>
    <t>https://www.uky.edu/~eushe2/Bandura/Bandura1997SE.pdf</t>
  </si>
  <si>
    <t>https://psycnet.apa.org/record/1997-08589-000</t>
  </si>
  <si>
    <t>Open PDF / landing</t>
  </si>
  <si>
    <t>PDF located for Bandura self-efficacy book excerpt/chapter. Verify edition/page details during charting.</t>
  </si>
  <si>
    <t>Bandura — Self-efficacy pdf DOI readable source</t>
  </si>
  <si>
    <t>https://www.google.com/search?q=Bandura+%E2%80%94+Self-efficacy+pdf+DOI+readable+source</t>
  </si>
  <si>
    <t>causal</t>
  </si>
  <si>
    <t>Domain-specific efficacy; mastery is the strongest source; reciprocal with performance.</t>
  </si>
  <si>
    <t>Build efficacy via early mastery, not exhortation (M2).</t>
  </si>
  <si>
    <t>Competence as capacity for good action.</t>
  </si>
  <si>
    <t>Motivation Crowding Watch Card</t>
  </si>
  <si>
    <t>CORE-05</t>
  </si>
  <si>
    <t>Deci, Koestner &amp; Ryan — extrinsic rewards meta-analysis</t>
  </si>
  <si>
    <t>https://selfdeterminationtheory.org/wp-content/uploads/2014/04/1999_DeciKoestnerRyan_Meta.pdf</t>
  </si>
  <si>
    <t>https://doi.org/10.1037/0033-2909.125.6.627</t>
  </si>
  <si>
    <t>Search results report meta-analysis of 128 studies and DOI 10.1037/0033-2909.125.6.627.</t>
  </si>
  <si>
    <t>Deci, Koestner &amp; Ryan — extrinsic rewards meta-analysis pdf DOI readable source</t>
  </si>
  <si>
    <t>https://www.google.com/search?q=Deci%2C+Koestner+%26+Ryan+%E2%80%94+extrinsic+rewards+meta-analysis+pdf+DOI+readable+source</t>
  </si>
  <si>
    <t>WARNING</t>
  </si>
  <si>
    <t>Contingent tangible rewards undermine intrinsic motivation; positive feedback enhances.</t>
  </si>
  <si>
    <t>Core H1c crowding evidence; sets c_C in the model.</t>
  </si>
  <si>
    <t>Buying compliance can cost autonomy = cosmotechnic failure.</t>
  </si>
  <si>
    <t>CF-1/CF-3</t>
  </si>
  <si>
    <t>OC-2</t>
  </si>
  <si>
    <t>CORE-06</t>
  </si>
  <si>
    <t>Frey &amp; Jegen — motivation crowding theory</t>
  </si>
  <si>
    <t>https://www.bsfrey.ch/articles/C_317_01.pdf</t>
  </si>
  <si>
    <t>https://doi.org/10.1023/A:1017564312479</t>
  </si>
  <si>
    <t>Open PDF / DOI landing</t>
  </si>
  <si>
    <t>Readable author PDF located for motivation crowding theory.</t>
  </si>
  <si>
    <t>Frey &amp; Jegen — motivation crowding theory pdf DOI readable source</t>
  </si>
  <si>
    <t>https://www.google.com/search?q=Frey+%26+Jegen+%E2%80%94+motivation+crowding+theory+pdf+DOI+readable+source</t>
  </si>
  <si>
    <t>economics/psych</t>
  </si>
  <si>
    <t>correlational</t>
  </si>
  <si>
    <t>External incentives can crowd out intrinsic motivation (crowding-out effect).</t>
  </si>
  <si>
    <t>Cross-disciplinary confirmation of crowding risk.</t>
  </si>
  <si>
    <t>Incentive design is morally consequential.</t>
  </si>
  <si>
    <t>CORE-07</t>
  </si>
  <si>
    <t>Lepper, Greene &amp; Nisbett — over-justification</t>
  </si>
  <si>
    <t>https://selfdeterminationtheory.org/SDT/documents/1973_LepperGreeneNisbett.pdf</t>
  </si>
  <si>
    <t>https://psycnet.apa.org/doi/10.1037/h0035519</t>
  </si>
  <si>
    <t>Readable SDT archive PDF for classic overjustification paper.</t>
  </si>
  <si>
    <t>Lepper, Greene &amp; Nisbett — over-justification pdf DOI readable source</t>
  </si>
  <si>
    <t>https://www.google.com/search?q=Lepper%2C+Greene+%26+Nisbett+%E2%80%94+over-justification+pdf+DOI+readable+source</t>
  </si>
  <si>
    <t>empirical</t>
  </si>
  <si>
    <t>psychology</t>
  </si>
  <si>
    <t>Expected reward for intrinsically interesting activity reduces later interest.</t>
  </si>
  <si>
    <t>Original demonstration; anchors the tip-over intuition.</t>
  </si>
  <si>
    <t>Reward can hollow meaning.</t>
  </si>
  <si>
    <t>CORE-08</t>
  </si>
  <si>
    <t>Reijula &amp; Hertwig — self-nudging &amp; citizen choice architect</t>
  </si>
  <si>
    <t>https://nudging-for-sdgs.eu/wp-content/uploads/2023/12/Self-nudging-and-the-citizen-choice-architect.pdf</t>
  </si>
  <si>
    <t>https://researchportal.helsinki.fi/en/publications/self-nudging-and-the-citizen-choice-architect</t>
  </si>
  <si>
    <t>Open PDF / publisher or postprint also available</t>
  </si>
  <si>
    <t>Search results identify DOI 10.1017/bpp.2020.5 and OSF DOI 10.31235/osf.io/24dwn.</t>
  </si>
  <si>
    <t>Reijula &amp; Hertwig — self-nudging &amp; citizen choice architect pdf DOI readable source</t>
  </si>
  <si>
    <t>https://www.google.com/search?q=Reijula+%26+Hertwig+%E2%80%94+self-nudging+%26+citizen+choice+architect+pdf+DOI+readable+source</t>
  </si>
  <si>
    <t>DESIGN/MECHANISM</t>
  </si>
  <si>
    <t>behavioral policy</t>
  </si>
  <si>
    <t>The person as choice-architect of their own proximal environment preserves internal PLOC.</t>
  </si>
  <si>
    <t>Central mechanism for authorship (lambda); M4d.</t>
  </si>
  <si>
    <t>Self-authorship as vehicle for autonomy, but not sufficient.</t>
  </si>
  <si>
    <t>OC-6</t>
  </si>
  <si>
    <t>CORE-09</t>
  </si>
  <si>
    <t>Carver &amp; Scheier — self-regulation / control theory</t>
  </si>
  <si>
    <t>https://stuff.mit.edu/afs/athena/course/9/9.00/readings/CarverScheier1982.pdf</t>
  </si>
  <si>
    <t>https://doi.org/10.1037/0033-295X.89.2.111</t>
  </si>
  <si>
    <t>Readable PDF of feedback/self-regulation control theory located.</t>
  </si>
  <si>
    <t>Carver &amp; Scheier — self-regulation / control theory pdf DOI readable source</t>
  </si>
  <si>
    <t>https://www.google.com/search?q=Carver+%26+Scheier+%E2%80%94+self-regulation+%2F+control+theory+pdf+DOI+readable+source</t>
  </si>
  <si>
    <t>Behavior is a feedback loop: input, comparator vs reference, output, environment.</t>
  </si>
  <si>
    <t>Loop design (M4b); feedback quality is the lever.</t>
  </si>
  <si>
    <t>Loops encode values; what they make salient matters.</t>
  </si>
  <si>
    <t>Arousal/Flow/Task-Switching Layer</t>
  </si>
  <si>
    <t>OC-4</t>
  </si>
  <si>
    <t>CORE-10</t>
  </si>
  <si>
    <t>Locke &amp; Latham — goal-setting theory</t>
  </si>
  <si>
    <t>https://home.ubalt.edu/tmitch/642/Articles%20syllabus/Locke%20Latham%202002%20building%20theory%20goal%20setting%20Am%20Psych.pdf</t>
  </si>
  <si>
    <t>https://psycnet.apa.org/record/2002-10108-003</t>
  </si>
  <si>
    <t>Readable PDF for Locke &amp; Latham goal-setting theory article located.</t>
  </si>
  <si>
    <t>Locke &amp; Latham — goal-setting theory pdf DOI readable source</t>
  </si>
  <si>
    <t>https://www.google.com/search?q=Locke+%26+Latham+%E2%80%94+goal-setting+theory+pdf+DOI+readable+source</t>
  </si>
  <si>
    <t>org psych</t>
  </si>
  <si>
    <t>Specific/difficult goals beat 'do your best' via four mechanisms, five moderators.</t>
  </si>
  <si>
    <t>Reference-setting (M4a); learning vs performance framing.</t>
  </si>
  <si>
    <t>Goals must be morally/ecologically fit, not just efficient.</t>
  </si>
  <si>
    <t>CF-1</t>
  </si>
  <si>
    <t>Monstare Protocol vNext</t>
  </si>
  <si>
    <t>CORE-11</t>
  </si>
  <si>
    <t>Ordonez et al. — Goals Gone Wild</t>
  </si>
  <si>
    <t>https://www.hbs.edu/ris/Publication%20Files/09-083.pdf</t>
  </si>
  <si>
    <t>https://www.jstor.org/stable/27747490</t>
  </si>
  <si>
    <t>Open PDF / JSTOR landing</t>
  </si>
  <si>
    <t>Priority B pass: HBS working paper PDF and JSTOR landing located.</t>
  </si>
  <si>
    <t>Ordonez et al. — Goals Gone Wild pdf DOI readable source</t>
  </si>
  <si>
    <t>https://www.google.com/search?q=Ordonez+et+al.+%E2%80%94+Goals+Gone+Wild+pdf+DOI+readable+source</t>
  </si>
  <si>
    <t>Aggressive goals cause narrowing, stress, shortcuts, reduced intrinsic interest.</t>
  </si>
  <si>
    <t>Goal failure modes; guardrails on M4a.</t>
  </si>
  <si>
    <t>Goal narrowing as moral flattening.</t>
  </si>
  <si>
    <t>Design Veto Catalogue</t>
  </si>
  <si>
    <t>CORE-12</t>
  </si>
  <si>
    <t>Ferster &amp; Skinner — Schedules of Reinforcement</t>
  </si>
  <si>
    <t>https://archive.org/details/schedulesofreinf0000fers</t>
  </si>
  <si>
    <t>https://www.worldcat.org/title/191941</t>
  </si>
  <si>
    <t>Archive lending / catalog landing</t>
  </si>
  <si>
    <t>Located - restricted readable</t>
  </si>
  <si>
    <t>Archive lending page located; no stable open full text found in pass.</t>
  </si>
  <si>
    <t>Ferster &amp; Skinner — Schedules of Reinforcement pdf DOI readable source</t>
  </si>
  <si>
    <t>https://www.google.com/search?q=Ferster+%26+Skinner+%E2%80%94+Schedules+of+Reinforcement+pdf+DOI+readable+source</t>
  </si>
  <si>
    <t>behavior analysis</t>
  </si>
  <si>
    <t>Variable-ratio schedules are most extinction-resistant.</t>
  </si>
  <si>
    <t>no</t>
  </si>
  <si>
    <t>Contingency/schedule design (M4c).</t>
  </si>
  <si>
    <t>Slot-machine schedules risk dependency.</t>
  </si>
  <si>
    <t>Current - located, access/fit caveat</t>
  </si>
  <si>
    <t>CORE-13</t>
  </si>
  <si>
    <t>Staddon &amp; Cerutti — operant conditioning review</t>
  </si>
  <si>
    <t>https://pmc.ncbi.nlm.nih.gov/articles/PMC1473025/</t>
  </si>
  <si>
    <t>https://scholars.duke.edu/publication/915302</t>
  </si>
  <si>
    <t>Open full text / DOI landing</t>
  </si>
  <si>
    <t>Priority B pass: PMC full text for Annual Review chapter located.</t>
  </si>
  <si>
    <t>Staddon &amp; Cerutti — operant conditioning review pdf DOI readable source</t>
  </si>
  <si>
    <t>https://www.google.com/search?q=Staddon+%26+Cerutti+%E2%80%94+operant+conditioning+review+pdf+DOI+readable+source</t>
  </si>
  <si>
    <t>MECHANISM/REVIEW</t>
  </si>
  <si>
    <t>Matching law; consequence-engineering is neither simple nor cost-free.</t>
  </si>
  <si>
    <t>Temper naive contingency design.</t>
  </si>
  <si>
    <t>Consequence engineering has hidden costs.</t>
  </si>
  <si>
    <t>CORE-14</t>
  </si>
  <si>
    <t>Clark &amp; Chalmers — The Extended Mind</t>
  </si>
  <si>
    <t>https://consc.net/papers/extended.html</t>
  </si>
  <si>
    <t>https://doi.org/10.1093/019823682X.003.0002</t>
  </si>
  <si>
    <t>Author HTML / DOI landing</t>
  </si>
  <si>
    <t>Readable author version located for The Extended Mind.</t>
  </si>
  <si>
    <t>Clark &amp; Chalmers — The Extended Mind pdf DOI readable source</t>
  </si>
  <si>
    <t>https://www.google.com/search?q=Clark+%26+Chalmers+%E2%80%94+The+Extended+Mind+pdf+DOI+readable+source</t>
  </si>
  <si>
    <t>TELOS</t>
  </si>
  <si>
    <t>philosophical</t>
  </si>
  <si>
    <t>cognitive science</t>
  </si>
  <si>
    <t>Cognition is partly constituted by body, tools, and environment.</t>
  </si>
  <si>
    <t>Warrant for treating environment design as cognitive design.</t>
  </si>
  <si>
    <t>Cognitive design is also world-design.</t>
  </si>
  <si>
    <t>Digital Capture Architecture</t>
  </si>
  <si>
    <t>Philosophical / historical / theoretical</t>
  </si>
  <si>
    <t>60 months</t>
  </si>
  <si>
    <t>2031-08-13</t>
  </si>
  <si>
    <t>CORE-15</t>
  </si>
  <si>
    <t>Gross — emotion regulation timeline</t>
  </si>
  <si>
    <t>https://spl.stanford.edu/pdfs/1998%20Gross%20-%20The%20Emerging%20Field%20of%20Emotion%20Regulation.pdf</t>
  </si>
  <si>
    <t>https://doi.org/10.1037/1089-2680.2.3.271</t>
  </si>
  <si>
    <t>Readable PDF located for Gross emotion regulation review.</t>
  </si>
  <si>
    <t>Gross — emotion regulation timeline pdf DOI readable source</t>
  </si>
  <si>
    <t>https://www.google.com/search?q=Gross+%E2%80%94+emotion+regulation+timeline+pdf+DOI+readable+source</t>
  </si>
  <si>
    <t>affective science</t>
  </si>
  <si>
    <t>Antecedent regulation (situation selection/modification) is cheaper than response repair.</t>
  </si>
  <si>
    <t>Locate intervention point (M3); antecedent design.</t>
  </si>
  <si>
    <t>Regulation without numbing meaningful signals.</t>
  </si>
  <si>
    <t>CORE-16</t>
  </si>
  <si>
    <t>Csikszentmihalyi — Flow</t>
  </si>
  <si>
    <t>https://archive.org/details/flowpsychologyof0000csik</t>
  </si>
  <si>
    <t>https://www.harpercollins.com/products/flow-mihaly-csikszentmihalyi</t>
  </si>
  <si>
    <t>Archive lending / publisher landing</t>
  </si>
  <si>
    <t>Archive lending and publisher page located; charting should use borrowed/legal copy.</t>
  </si>
  <si>
    <t>Csikszentmihalyi — Flow pdf DOI readable source</t>
  </si>
  <si>
    <t>https://www.google.com/search?q=Csikszentmihalyi+%E2%80%94+Flow+pdf+DOI+readable+source</t>
  </si>
  <si>
    <t>Challenge-skill balance, clear goals, feedback yield absorbed engagement.</t>
  </si>
  <si>
    <t>Conditions suppliable; state not forceable.</t>
  </si>
  <si>
    <t>Flow as attunement, not extraction.</t>
  </si>
  <si>
    <t>CORE-17</t>
  </si>
  <si>
    <t>Kazdin — Single-Case Research Designs</t>
  </si>
  <si>
    <t>https://archive.org/details/singlecaseresear00alan</t>
  </si>
  <si>
    <t>https://books.google.com/books/about/Single_Case_Research_Designs.html?id=RvrTEQAAQBAJ</t>
  </si>
  <si>
    <t>Borrow/controlled digital lending or book preview</t>
  </si>
  <si>
    <t>Readable source located - access controlled</t>
  </si>
  <si>
    <t>Exact edition may vary. Archive link is 1982 access-restricted scan; Google Books entry shows later third edition. Treat as access-controlled book, not open article.</t>
  </si>
  <si>
    <t>Kazdin — Single-Case Research Designs pdf DOI readable source</t>
  </si>
  <si>
    <t>https://www.google.com/search?q=Kazdin+%E2%80%94+Single-Case+Research+Designs+pdf+DOI+readable+source</t>
  </si>
  <si>
    <t>methods</t>
  </si>
  <si>
    <t>METHOD</t>
  </si>
  <si>
    <t>research methods</t>
  </si>
  <si>
    <t>Multiple-baseline logic controls history/maturation without a control person.</t>
  </si>
  <si>
    <t>Spine of the Tier-C pilot (SCED).</t>
  </si>
  <si>
    <t>Rigorous N-of-1 inference vs false generalization.</t>
  </si>
  <si>
    <t>SCED Phase Plan</t>
  </si>
  <si>
    <t>OC-5</t>
  </si>
  <si>
    <t>Methods / reporting standards</t>
  </si>
  <si>
    <t>CORE-18</t>
  </si>
  <si>
    <t>Tate et al. — SCRIBE 2016 reporting guideline</t>
  </si>
  <si>
    <t>https://www.equator-network.org/reporting-guidelines/scribe-statement/</t>
  </si>
  <si>
    <t>https://academic.oup.com/ptj/article/96/7/e1/2864911</t>
  </si>
  <si>
    <t>Open guideline page / article page / checklist PDF</t>
  </si>
  <si>
    <t>EQUATOR page supplies full bibliographic reference, links, and the 26-item SCRIBE 2016 guideline.</t>
  </si>
  <si>
    <t>Tate et al. — SCRIBE 2016 reporting guideline pdf DOI readable source</t>
  </si>
  <si>
    <t>https://www.google.com/search?q=Tate+et+al.+%E2%80%94+SCRIBE+2016+reporting+guideline+pdf+DOI+readable+source</t>
  </si>
  <si>
    <t>26-item checklist for single-case behavioral intervention reporting.</t>
  </si>
  <si>
    <t>Governs SCED reporting quality.</t>
  </si>
  <si>
    <t>Transparency as anti-self-deception.</t>
  </si>
  <si>
    <t>Preregistration Packet</t>
  </si>
  <si>
    <t>CORE-19</t>
  </si>
  <si>
    <t>Klasnja et al. — Micro-randomized trials</t>
  </si>
  <si>
    <t>https://pmc.ncbi.nlm.nih.gov/articles/PMC5820391/</t>
  </si>
  <si>
    <t>https://doi.org/10.1016/j.cct.2015.07.003</t>
  </si>
  <si>
    <t>PMC open full text located for micro-randomized trials paper.</t>
  </si>
  <si>
    <t>Klasnja et al. — Micro-randomized trials pdf DOI readable source</t>
  </si>
  <si>
    <t>https://www.google.com/search?q=Klasnja+et+al.+%E2%80%94+Micro-randomized+trials+pdf+DOI+readable+source</t>
  </si>
  <si>
    <t>MRT estimates proximal causal effects and time-varying moderation.</t>
  </si>
  <si>
    <t>Best for high-frequency digital prompts/JITAI.</t>
  </si>
  <si>
    <t>Rigor for the digital channel.</t>
  </si>
  <si>
    <t>CORE-20</t>
  </si>
  <si>
    <t>Collins — Multiphase Optimization Strategy (MOST)</t>
  </si>
  <si>
    <t>https://methodology.psu.edu/wp-content/uploads/2020/05/Collins-2018-MOST-Overview.pdf</t>
  </si>
  <si>
    <t>https://www.springer.com/gp/book/9783319722054</t>
  </si>
  <si>
    <t>Open PDF / book landing</t>
  </si>
  <si>
    <t>Readable MOST overview located; verify if matrix should reference book vs overview during charting.</t>
  </si>
  <si>
    <t>Collins — Multiphase Optimization Strategy (MOST) pdf DOI readable source</t>
  </si>
  <si>
    <t>https://www.google.com/search?q=Collins+%E2%80%94+Multiphase+Optimization+Strategy+%28MOST%29+pdf+DOI+readable+source</t>
  </si>
  <si>
    <t>Factorial screening separates intervention-component effects.</t>
  </si>
  <si>
    <t>Channel attribution once components defined.</t>
  </si>
  <si>
    <t>Avoid confounding the whole ecology.</t>
  </si>
  <si>
    <t>Intervention Component Library</t>
  </si>
  <si>
    <t>OC-3</t>
  </si>
  <si>
    <t>A1-01</t>
  </si>
  <si>
    <t>Hui — The Question Concerning Technology in China</t>
  </si>
  <si>
    <t>https://ia800505.us.archive.org/20/items/cyclonopedia-negarestani-reza/The_Question_Concerning_Technology_in_China--_Yuk_Hui.pdf</t>
  </si>
  <si>
    <t>https://brill.com/previewpdf/view/journals/dias/4/3/article-p316_316.xml</t>
  </si>
  <si>
    <t>PDF found / copyright status should be reviewed before relying on full-text copy</t>
  </si>
  <si>
    <t>Readable source found - verify rights/edition</t>
  </si>
  <si>
    <t>Use legally obtained copy if possible. Existing design memo relies more centrally on Hui 2024, which is open access.</t>
  </si>
  <si>
    <t>Hui — The Question Concerning Technology in China pdf DOI readable source</t>
  </si>
  <si>
    <t>https://www.google.com/search?q=Hui+%E2%80%94+The+Question+Concerning+Technology+in+China+pdf+DOI+readable+source</t>
  </si>
  <si>
    <t>philosophy of tech</t>
  </si>
  <si>
    <t>Technology is not anthropologically universal; cosmotechnics binds cosmic + moral + technical.</t>
  </si>
  <si>
    <t>Governing telos (layer 2.13); the plan's horizon.</t>
  </si>
  <si>
    <t>Sets the whole cosmotechnic criterion.</t>
  </si>
  <si>
    <t>CF-10</t>
  </si>
  <si>
    <t>Cosmotechnic Audit Card</t>
  </si>
  <si>
    <t>OC-7</t>
  </si>
  <si>
    <t>A1-02</t>
  </si>
  <si>
    <t>Hui — Cosmotechnics as Cosmopolitics</t>
  </si>
  <si>
    <t>https://www.e-flux.com/journal/86/161887/cosmotechnics-as-cosmopolitics/</t>
  </si>
  <si>
    <t>https://digitalmilieu.net/1248/cosmotechnics-as-cosmopolitics/</t>
  </si>
  <si>
    <t>Open HTML</t>
  </si>
  <si>
    <t>Priority B pass: e-flux full text and author page located.</t>
  </si>
  <si>
    <t>Hui — Cosmotechnics as Cosmopolitics pdf DOI readable source</t>
  </si>
  <si>
    <t>https://www.google.com/search?q=Hui+%E2%80%94+Cosmotechnics+as+Cosmopolitics+pdf+DOI+readable+source</t>
  </si>
  <si>
    <t>TELOS/CRITIQUE</t>
  </si>
  <si>
    <t>Resists unilateral globalization of one technical worldview; technodiversity.</t>
  </si>
  <si>
    <t>Support personal technodiversity.</t>
  </si>
  <si>
    <t>Refuse one productivity ontology.</t>
  </si>
  <si>
    <t>CF-8</t>
  </si>
  <si>
    <t>Technodiversity &amp; Cultural Fit Sheet</t>
  </si>
  <si>
    <t>OC-11</t>
  </si>
  <si>
    <t>A1-03</t>
  </si>
  <si>
    <t>Hui — Art and Cosmotechnics</t>
  </si>
  <si>
    <t>https://www.e-flux.com/books/327526/art-and-cosmotechnics</t>
  </si>
  <si>
    <t>https://www.upress.umn.edu/9781517909543/art-and-cosmotechnics/</t>
  </si>
  <si>
    <t>Publisher/e-flux landing</t>
  </si>
  <si>
    <t>Located - landing source</t>
  </si>
  <si>
    <t>Priority B pass: publisher and e-flux book landing found; full text may require purchase/library.</t>
  </si>
  <si>
    <t>Hui — Art and Cosmotechnics pdf DOI readable source</t>
  </si>
  <si>
    <t>https://www.google.com/search?q=Hui+%E2%80%94+Art+and+Cosmotechnics+pdf+DOI+readable+source</t>
  </si>
  <si>
    <t>Art/landscape/symbol as resources to rethink technology beyond instrumentality.</t>
  </si>
  <si>
    <t>Justify ritual/symbolic/registration elements.</t>
  </si>
  <si>
    <t>Aesthetic-symbolic relation as technical.</t>
  </si>
  <si>
    <t>CF-7</t>
  </si>
  <si>
    <t>Ritual Transition Cards</t>
  </si>
  <si>
    <t>A1-04</t>
  </si>
  <si>
    <t>Hui &amp; Lemmens (eds.) — Cosmotechnics (Anthropocene)</t>
  </si>
  <si>
    <t>https://api.pageplace.de/preview/DT0400.9781000396324_A40918824/preview-9781000396324_A40918824.pdf</t>
  </si>
  <si>
    <t>https://www.routledge.com/Cosmotechnics-For-a-Renewed-Concept-of-Technology-in-the-Anthropocene/Hui-Lemmens/p/book/9780367769376</t>
  </si>
  <si>
    <t>Preview PDF / publisher landing</t>
  </si>
  <si>
    <t>Located - preview source</t>
  </si>
  <si>
    <t>Priority B pass: preview/source landing found; full book likely library/purchase.</t>
  </si>
  <si>
    <t>Hui &amp; Lemmens (eds.) — Cosmotechnics (Anthropocene) pdf DOI readable source</t>
  </si>
  <si>
    <t>https://www.google.com/search?q=Hui+%26+Lemmens+%28eds.%29+%E2%80%94+Cosmotechnics+%28Anthropocene%29+pdf+DOI+readable+source</t>
  </si>
  <si>
    <t>Technodiversity, pluralism, ecological stakes of technical practice.</t>
  </si>
  <si>
    <t>Pluralism at the scale of practice.</t>
  </si>
  <si>
    <t>Ecological stakes of tools.</t>
  </si>
  <si>
    <t>A1-05</t>
  </si>
  <si>
    <t>Simondon — On the Mode of Existence of Technical Objects</t>
  </si>
  <si>
    <t>https://archive.org/details/onmodeofexistenc0000simo</t>
  </si>
  <si>
    <t>https://www.upress.umn.edu/9781937561031/on-the-mode-of-existence-of-technical-objects/</t>
  </si>
  <si>
    <t>Archive/publisher page located; use legal borrowed/purchased text for charting.</t>
  </si>
  <si>
    <t>Simondon — On the Mode of Existence of Technical Objects pdf DOI readable source</t>
  </si>
  <si>
    <t>https://www.google.com/search?q=Simondon+%E2%80%94+On+the+Mode+of+Existence+of+Technical+Objects+pdf+DOI+readable+source</t>
  </si>
  <si>
    <t>TELOS/MECHANISM/DESIGN</t>
  </si>
  <si>
    <t>Technical objects are evolving relational beings, not inert tools.</t>
  </si>
  <si>
    <t>Technical-object maturity; tool subordination.</t>
  </si>
  <si>
    <t>Judge whether a tool integrates or alienates.</t>
  </si>
  <si>
    <t>CF-5</t>
  </si>
  <si>
    <t>A1-06</t>
  </si>
  <si>
    <t>Simondon — Individuation (Form and Information)</t>
  </si>
  <si>
    <t>https://archive.org/details/individuationinl0000simo</t>
  </si>
  <si>
    <t>https://www.upress.umn.edu/9781937561048/individuation-in-light-of-notions-of-form-and-information/</t>
  </si>
  <si>
    <t>Archive/publisher page located for Simondon Individuation.</t>
  </si>
  <si>
    <t>Simondon — Individuation (Form and Information) pdf DOI readable source</t>
  </si>
  <si>
    <t>https://www.google.com/search?q=Simondon+%E2%80%94+Individuation+%28Form+and+Information%29+pdf+DOI+readable+source</t>
  </si>
  <si>
    <t>The person is an individuating system shaped through relations, not a fixed agent.</t>
  </si>
  <si>
    <t>Avoid rigid identity protocols.</t>
  </si>
  <si>
    <t>Support becoming-through-practice.</t>
  </si>
  <si>
    <t>A1-07</t>
  </si>
  <si>
    <t>Stiegler — Technics and Time v1 (Fault of Epimetheus)</t>
  </si>
  <si>
    <t>https://monoskop.org/images/6/6c/Stiegler_Bernard_Technics_and_Time_1_The_Fault_of_Epimetheus.pdf</t>
  </si>
  <si>
    <t>https://www.sup.org/books/title/?id=2213</t>
  </si>
  <si>
    <t>Open PDF / publisher landing</t>
  </si>
  <si>
    <t>Readable PDF located; verify legality/preferred access during charting.</t>
  </si>
  <si>
    <t>Stiegler — Technics and Time v1 (Fault of Epimetheus) pdf DOI readable source</t>
  </si>
  <si>
    <t>https://www.google.com/search?q=Stiegler+%E2%80%94+Technics+and+Time+v1+%28Fault+of+Epimetheus%29+pdf+DOI+readable+source</t>
  </si>
  <si>
    <t>TELOS/WARNING</t>
  </si>
  <si>
    <t>Technics constitutes memory/inheritance; external memory is pharmakon (remedy+poison).</t>
  </si>
  <si>
    <t>Frame external memory/AI as pharmacological.</t>
  </si>
  <si>
    <t>Offloading has a poison dose.</t>
  </si>
  <si>
    <t>AI Assistant Use Rules</t>
  </si>
  <si>
    <t>OC-13</t>
  </si>
  <si>
    <t>A1-08</t>
  </si>
  <si>
    <t>Feenberg — Questioning Technology</t>
  </si>
  <si>
    <t>https://www.sfu.ca/~andrewf/Feenberg_Questioning_Technology.pdf</t>
  </si>
  <si>
    <t>https://www.routledge.com/Questioning-Technology/Feenberg/p/book/9780415197552</t>
  </si>
  <si>
    <t>Readable PDF located for Questioning Technology.</t>
  </si>
  <si>
    <t>Feenberg — Questioning Technology pdf DOI readable source</t>
  </si>
  <si>
    <t>https://www.google.com/search?q=Feenberg+%E2%80%94+Questioning+Technology+pdf+DOI+readable+source</t>
  </si>
  <si>
    <t>CRITIQUE/DESIGN/TELOS</t>
  </si>
  <si>
    <t>critical theory of tech</t>
  </si>
  <si>
    <t>Technology is not neutral and can be democratized.</t>
  </si>
  <si>
    <t>User authorship beyond interface choice.</t>
  </si>
  <si>
    <t>Design politics as moral stake.</t>
  </si>
  <si>
    <t>A1-09</t>
  </si>
  <si>
    <t>Ihde — Technology and the Lifeworld</t>
  </si>
  <si>
    <t>https://archive.org/details/technologylifewo0000ihde</t>
  </si>
  <si>
    <t>https://iupress.org/9780253205605/technology-and-the-lifeworld/</t>
  </si>
  <si>
    <t>Archive lending and publisher page located.</t>
  </si>
  <si>
    <t>Ihde — Technology and the Lifeworld pdf DOI readable source</t>
  </si>
  <si>
    <t>https://www.google.com/search?q=Ihde+%E2%80%94+Technology+and+the+Lifeworld+pdf+DOI+readable+source</t>
  </si>
  <si>
    <t>postphenomenology</t>
  </si>
  <si>
    <t>Technologies mediate perception and action (reveal/conceal/amplify/reduce).</t>
  </si>
  <si>
    <t>Ask what a tool reveals and hides.</t>
  </si>
  <si>
    <t>Mediation as design question.</t>
  </si>
  <si>
    <t>A1-10</t>
  </si>
  <si>
    <t>Verbeek — What Things Do</t>
  </si>
  <si>
    <t>https://archive.org/details/whatthingsdophil0000verb</t>
  </si>
  <si>
    <t>https://www.psupress.org/books/titles/0-271-02540-9.html</t>
  </si>
  <si>
    <t>Verbeek — What Things Do pdf DOI readable source</t>
  </si>
  <si>
    <t>https://www.google.com/search?q=Verbeek+%E2%80%94+What+Things+Do+pdf+DOI+readable+source</t>
  </si>
  <si>
    <t>DESIGN/TELOS/WARNING</t>
  </si>
  <si>
    <t>Technologies are moral mediators of action.</t>
  </si>
  <si>
    <t>Vocabulary for technological mediation of moral action.</t>
  </si>
  <si>
    <t>Design as ethics-in-practice.</t>
  </si>
  <si>
    <t>CF-4</t>
  </si>
  <si>
    <t>A1-11</t>
  </si>
  <si>
    <t>Winner — The Whale and the Reactor</t>
  </si>
  <si>
    <t>https://ratical.org/ratville/AoS/WhaleAndReactor.pdf</t>
  </si>
  <si>
    <t>https://press.uchicago.edu/ucp/books/book/chicago/W/bo5958056.html</t>
  </si>
  <si>
    <t>Priority B pass: readable PDF located alongside Chicago publisher page.</t>
  </si>
  <si>
    <t>Winner — The Whale and the Reactor pdf DOI readable source</t>
  </si>
  <si>
    <t>https://www.google.com/search?q=Winner+%E2%80%94+The+Whale+and+the+Reactor+pdf+DOI+readable+source</t>
  </si>
  <si>
    <t>WARNING/CRITIQUE</t>
  </si>
  <si>
    <t>politics of tech</t>
  </si>
  <si>
    <t>Artifacts can embody politics.</t>
  </si>
  <si>
    <t>Ask whether an artifact enforces a moral/political order.</t>
  </si>
  <si>
    <t>Artifacts are not neutral.</t>
  </si>
  <si>
    <t>A1-12</t>
  </si>
  <si>
    <t>Latour — Where Are the Missing Masses?</t>
  </si>
  <si>
    <t>https://www.bruno-latour.fr/node/258.html</t>
  </si>
  <si>
    <t>https://www.sfu.ca/~andrewf/Latour_MissingMasses.pdf</t>
  </si>
  <si>
    <t>Open HTML / PDF</t>
  </si>
  <si>
    <t>Priority B pass: author/official page and PDF located.</t>
  </si>
  <si>
    <t>Latour — Where Are the Missing Masses? pdf DOI readable source</t>
  </si>
  <si>
    <t>https://www.google.com/search?q=Latour+%E2%80%94+Where+Are+the+Missing+Masses%3F+pdf+DOI+readable+source</t>
  </si>
  <si>
    <t>MECHANISM/DESIGN</t>
  </si>
  <si>
    <t>STS</t>
  </si>
  <si>
    <t>Artifacts delegate, prescribe, and shape conduct.</t>
  </si>
  <si>
    <t>Task design as delegated morality.</t>
  </si>
  <si>
    <t>Prescription is embedded in tools.</t>
  </si>
  <si>
    <t>A1-13</t>
  </si>
  <si>
    <t>Borgmann — Technology and the Character of Contemporary Life</t>
  </si>
  <si>
    <t>https://archive.org/details/technologycharac0000borg</t>
  </si>
  <si>
    <t>https://press.uchicago.edu/ucp/books/book/chicago/T/bo3632495.html</t>
  </si>
  <si>
    <t>Priority B pass: archive loan and publisher page located.</t>
  </si>
  <si>
    <t>Borgmann — Technology and the Character of Contemporary Life pdf DOI readable source</t>
  </si>
  <si>
    <t>https://www.google.com/search?q=Borgmann+%E2%80%94+Technology+and+the+Character+of+Contemporary+Life+pdf+DOI+readable+source</t>
  </si>
  <si>
    <t>WARNING/TELOS</t>
  </si>
  <si>
    <t>Device paradigm hides focal practices behind commodities.</t>
  </si>
  <si>
    <t>Protect practice from convenience extraction.</t>
  </si>
  <si>
    <t>Convenience can erase focal practice.</t>
  </si>
  <si>
    <t>Anti-Extraction Audit</t>
  </si>
  <si>
    <t>A1-14</t>
  </si>
  <si>
    <t>Mitcham — Thinking Through Technology</t>
  </si>
  <si>
    <t>https://archive.org/details/thinkingthrought0000mitc</t>
  </si>
  <si>
    <t>https://press.uchicago.edu/ucp/books/book/chicago/T/bo3625112.html</t>
  </si>
  <si>
    <t>Mitcham — Thinking Through Technology pdf DOI readable source</t>
  </si>
  <si>
    <t>https://www.google.com/search?q=Mitcham+%E2%80%94+Thinking+Through+Technology+pdf+DOI+readable+source</t>
  </si>
  <si>
    <t>TELOS/REVIEW</t>
  </si>
  <si>
    <t>Map of engineering vs humanities approaches to technology.</t>
  </si>
  <si>
    <t>Orient without overcommitting to one school.</t>
  </si>
  <si>
    <t>Breadth over dogma.</t>
  </si>
  <si>
    <t>Master Research Index</t>
  </si>
  <si>
    <t>A1-15</t>
  </si>
  <si>
    <t>Heidegger — The Question Concerning Technology</t>
  </si>
  <si>
    <t>https://monoskop.org/images/6/67/Heidegger_Martin_1962_1977_The_Question_Concerning_Technology.pdf</t>
  </si>
  <si>
    <t>https://monoskop.org/images/4/44/Heidegger_Martin_The_Question_Concerning_Technology_and_Other_Essays.pdf</t>
  </si>
  <si>
    <t>Open PDF copies / verify legal course-use copy</t>
  </si>
  <si>
    <t>Essay PDF and collected-volume PDF located; use legal/approved copy for charting.</t>
  </si>
  <si>
    <t>Heidegger — The Question Concerning Technology pdf DOI readable source</t>
  </si>
  <si>
    <t>https://www.google.com/search?q=Heidegger+%E2%80%94+The+Question+Concerning+Technology+pdf+DOI+readable+source</t>
  </si>
  <si>
    <t>C</t>
  </si>
  <si>
    <t>Enframing; technology as a mode of revealing.</t>
  </si>
  <si>
    <t>Pressure source, not governing authority (Hui responds to it).</t>
  </si>
  <si>
    <t>Origin-point for the universality problem.</t>
  </si>
  <si>
    <t>A1-16</t>
  </si>
  <si>
    <t>Mumford — Technics and Civilization</t>
  </si>
  <si>
    <t>https://archive.org/details/technicsciviliza0000lewi</t>
  </si>
  <si>
    <t>https://openlibrary.org/books/OL13718419M/Technics_and_civilization.</t>
  </si>
  <si>
    <t>Archive lending / Open Library landing</t>
  </si>
  <si>
    <t>Controlled digital lending and catalog path located for Technics and Civilization.</t>
  </si>
  <si>
    <t>Mumford — Technics and Civilization pdf DOI readable source</t>
  </si>
  <si>
    <t>https://www.google.com/search?q=Mumford+%E2%80%94+Technics+and+Civilization+pdf+DOI+readable+source</t>
  </si>
  <si>
    <t>TELOS/CONTEXT</t>
  </si>
  <si>
    <t>history of tech</t>
  </si>
  <si>
    <t>Long history of technics and social form.</t>
  </si>
  <si>
    <t>Context only.</t>
  </si>
  <si>
    <t>Historical breadth.</t>
  </si>
  <si>
    <t>A1-17</t>
  </si>
  <si>
    <t>Ellul — The Technological Society</t>
  </si>
  <si>
    <t>https://archive.org/details/technologicalsoc0000ellu</t>
  </si>
  <si>
    <t>https://archive.org/details/JacquesEllulTheTechnologicalSociety</t>
  </si>
  <si>
    <t>Archive lending / alternate archive scan</t>
  </si>
  <si>
    <t>Archive access path located; use legal borrowed/library copy for full charting.</t>
  </si>
  <si>
    <t>Ellul — The Technological Society pdf DOI readable source</t>
  </si>
  <si>
    <t>https://www.google.com/search?q=Ellul+%E2%80%94+The+Technological+Society+pdf+DOI+readable+source</t>
  </si>
  <si>
    <t>Technique as autonomous, self-augmenting order.</t>
  </si>
  <si>
    <t>Warning about technical autonomy.</t>
  </si>
  <si>
    <t>Technique can govern the human.</t>
  </si>
  <si>
    <t>A1-18</t>
  </si>
  <si>
    <t>Haraway — A Cyborg Manifesto</t>
  </si>
  <si>
    <t>https://www.sfu.ca/~decaste/OISE/page2/files/HarawayCyborg.pdf</t>
  </si>
  <si>
    <t>https://archive.org/details/anarchy_Cyborg_Manifesto_Harroway</t>
  </si>
  <si>
    <t>Open PDF / archive landing</t>
  </si>
  <si>
    <t>Readable PDF and archive landing located; verify preferred edition during charting.</t>
  </si>
  <si>
    <t>Haraway — A Cyborg Manifesto pdf DOI readable source</t>
  </si>
  <si>
    <t>https://www.google.com/search?q=Haraway+%E2%80%94+A+Cyborg+Manifesto+pdf+DOI+readable+source</t>
  </si>
  <si>
    <t>CRITIQUE</t>
  </si>
  <si>
    <t>STS/feminist</t>
  </si>
  <si>
    <t>Hybrid human-machine boundaries; refusal of purity.</t>
  </si>
  <si>
    <t>Contextual reframing.</t>
  </si>
  <si>
    <t>Boundary plurality.</t>
  </si>
  <si>
    <t>A1-19</t>
  </si>
  <si>
    <t>Verbeek — Moralizing Technology</t>
  </si>
  <si>
    <t>https://archive.org/details/moralizingtechno0000verb</t>
  </si>
  <si>
    <t>https://press.uchicago.edu/ucp/books/book/chicago/M/bo11309162.html</t>
  </si>
  <si>
    <t>Archive lending and University of Chicago Press landing located.</t>
  </si>
  <si>
    <t>Verbeek — Moralizing Technology pdf DOI readable source</t>
  </si>
  <si>
    <t>https://www.google.com/search?q=Verbeek+%E2%80%94+Moralizing+Technology+pdf+DOI+readable+source</t>
  </si>
  <si>
    <t>DESIGN/TELOS</t>
  </si>
  <si>
    <t>Designers materialize morality; ethics of things.</t>
  </si>
  <si>
    <t>Deliberate moral mediation in design.</t>
  </si>
  <si>
    <t>Morality can be built in.</t>
  </si>
  <si>
    <t>A2-01</t>
  </si>
  <si>
    <t>Li, Dey &amp; Forlizzi — Stage-Based Model of Personal Informatics</t>
  </si>
  <si>
    <t>https://www.ianli.com/publications/2010-ianli-chi-stage-based-model.pdf</t>
  </si>
  <si>
    <t>https://ianli.owlstown.net/publications/17-a-stage-based-model-of-personal-informatics-systems</t>
  </si>
  <si>
    <t>CHI 2010 paper; DOI surfaced in search result as 10.1145/1753326.1753409.</t>
  </si>
  <si>
    <t>Li, Dey &amp; Forlizzi — Stage-Based Model of Personal Informatics pdf DOI readable source</t>
  </si>
  <si>
    <t>https://www.google.com/search?q=Li%2C+Dey+%26+Forlizzi+%E2%80%94+Stage-Based+Model+of+Personal+Informatics+pdf+DOI+readable+source</t>
  </si>
  <si>
    <t>MECHANISM/DESIGN/METHOD</t>
  </si>
  <si>
    <t>HCI/PI</t>
  </si>
  <si>
    <t>PI stages: preparation, collection, integration, reflection, action.</t>
  </si>
  <si>
    <t>Design capture workflow; prevent data hoarding without reflection.</t>
  </si>
  <si>
    <t>Capture must serve reflection, not accumulation.</t>
  </si>
  <si>
    <t>CF-2</t>
  </si>
  <si>
    <t>A2-02</t>
  </si>
  <si>
    <t>Lupton — The Quantified Self</t>
  </si>
  <si>
    <t>https://bpb-us-e2.wpmucdn.com/sites.middlebury.edu/dist/b/5028/files/2020/02/lupton-quantified-self-ch1.pdf</t>
  </si>
  <si>
    <t>https://www.perlego.com/book/1536278/the-quantified-self-pdf</t>
  </si>
  <si>
    <t>Chapter PDF / book access options</t>
  </si>
  <si>
    <t>Partial readable source found</t>
  </si>
  <si>
    <t>Full book is a copyrighted monograph; use chapter extracts or legal library/e-book access for full charting.</t>
  </si>
  <si>
    <t>Lupton — The Quantified Self pdf DOI readable source</t>
  </si>
  <si>
    <t>https://www.google.com/search?q=Lupton+%E2%80%94+The+Quantified+Self+pdf+DOI+readable+source</t>
  </si>
  <si>
    <t>CRITIQUE/WARNING</t>
  </si>
  <si>
    <t>critique</t>
  </si>
  <si>
    <t>sociology</t>
  </si>
  <si>
    <t>Self-tracking datafies selfhood; risks neoliberal self-management.</t>
  </si>
  <si>
    <t>Name metric-capture and self-discipline risks.</t>
  </si>
  <si>
    <t>Numbers can displace self-knowledge.</t>
  </si>
  <si>
    <t>OC-10</t>
  </si>
  <si>
    <t>A2-03</t>
  </si>
  <si>
    <t>Neff &amp; Nafus — Self-Tracking</t>
  </si>
  <si>
    <t>https://archive.org/details/selftracking0000neff</t>
  </si>
  <si>
    <t>https://mitpress.mit.edu/9780262529129/self-tracking/</t>
  </si>
  <si>
    <t>Archive lending and MIT Press landing located.</t>
  </si>
  <si>
    <t>Neff &amp; Nafus — Self-Tracking pdf DOI readable source</t>
  </si>
  <si>
    <t>https://www.google.com/search?q=Neff+%26+Nafus+%E2%80%94+Self-Tracking+pdf+DOI+readable+source</t>
  </si>
  <si>
    <t>CRITIQUE/DESIGN</t>
  </si>
  <si>
    <t>Maps self-tracking practices and their social implications.</t>
  </si>
  <si>
    <t>Distinguish self-knowledge, self-surveillance, experiment.</t>
  </si>
  <si>
    <t>Tracking is a cultural practice.</t>
  </si>
  <si>
    <t>A2-04</t>
  </si>
  <si>
    <t>Rapp, Cena &amp; Marcengo — QS/PI special issue editorial</t>
  </si>
  <si>
    <t>https://link.springer.com/content/pdf/10.1007/s00779-017-1093-x.pdf</t>
  </si>
  <si>
    <t>https://link.springer.com/article/10.1007/s00779-017-1093-x</t>
  </si>
  <si>
    <t>Readable Springer PDF located for QS/PI special issue editorial.</t>
  </si>
  <si>
    <t>Rapp, Cena &amp; Marcengo — QS/PI special issue editorial pdf DOI readable source</t>
  </si>
  <si>
    <t>https://www.google.com/search?q=Rapp%2C+Cena+%26+Marcengo+%E2%80%94+QS%2FPI+special+issue+editorial+pdf+DOI+readable+source</t>
  </si>
  <si>
    <t>REVIEW/DESIGN</t>
  </si>
  <si>
    <t>PI aims to make personal data meaningful in situated daily life.</t>
  </si>
  <si>
    <t>Situated usefulness over total capture.</t>
  </si>
  <si>
    <t>Meaning in context, not raw data.</t>
  </si>
  <si>
    <t>A2-05</t>
  </si>
  <si>
    <t>Grinberg — Ethnography of an Interface</t>
  </si>
  <si>
    <t>https://digitalassets.lib.berkeley.edu/anthpubs/ucb/text/kas061_003-006.pdf</t>
  </si>
  <si>
    <t>https://escholarship.org/uc/item/0h1008ws</t>
  </si>
  <si>
    <t>Open PDF / repository landing</t>
  </si>
  <si>
    <t>Readable repository PDF located; verify exact ethnography/interface match during charting.</t>
  </si>
  <si>
    <t>Grinberg — Ethnography of an Interface pdf DOI readable source</t>
  </si>
  <si>
    <t>https://www.google.com/search?q=Grinberg+%E2%80%94+Ethnography+of+an+Interface+pdf+DOI+readable+source</t>
  </si>
  <si>
    <t>CRITIQUE/CONTEXT</t>
  </si>
  <si>
    <t>anthropology</t>
  </si>
  <si>
    <t>QS as culture of personal data and digital connection.</t>
  </si>
  <si>
    <t>See tracking as social/technical, not neutral.</t>
  </si>
  <si>
    <t>Interfaces shape self-relation.</t>
  </si>
  <si>
    <t>A2-06</t>
  </si>
  <si>
    <t>Sharon — Self-Tracking for Health and the QS</t>
  </si>
  <si>
    <t>https://www.academia.edu/9958013/Self_Tracking_for_Health_and_the_Quantified_Self_Re_articulating_Autonomy_Solidarity_and_Authenticity_in_an_Age_of_Personalized_Healthcare</t>
  </si>
  <si>
    <t>https://doi.org/10.1007/s10676-016-9405-0</t>
  </si>
  <si>
    <t>Academia landing / DOI landing</t>
  </si>
  <si>
    <t>Located - gated or account source</t>
  </si>
  <si>
    <t>Source located; full text may require institution/account or publisher access.</t>
  </si>
  <si>
    <t>Sharon — Self-Tracking for Health and the QS pdf DOI readable source</t>
  </si>
  <si>
    <t>https://www.google.com/search?q=Sharon+%E2%80%94+Self-Tracking+for+Health+and+the+QS+pdf+DOI+readable+source</t>
  </si>
  <si>
    <t>CRITIQUE/ETHICS</t>
  </si>
  <si>
    <t>ethics/STS</t>
  </si>
  <si>
    <t>Does self-tracking empower or discipline the self?</t>
  </si>
  <si>
    <t>Ethical boundary for state/productivity tracking.</t>
  </si>
  <si>
    <t>Empowerment vs discipline.</t>
  </si>
  <si>
    <t>A2-07</t>
  </si>
  <si>
    <t>Whittaker — critiques of QS/personal informatics</t>
  </si>
  <si>
    <t>https://external.dandelon.com/download/attachments/dandelon/ids/CH001C626918F45F6881DC1258006003EC0A8.pdf</t>
  </si>
  <si>
    <t>https://www.politybooks.com/bookdetail?book_slug=the-quantified-self--9781509500611</t>
  </si>
  <si>
    <t>Located - partial source</t>
  </si>
  <si>
    <t>Priority B pass: core critique source located around QS critique; check whether row label needs Whittaker→Lupton correction.</t>
  </si>
  <si>
    <t>Whittaker — critiques of QS/personal informatics pdf DOI readable source</t>
  </si>
  <si>
    <t>https://www.google.com/search?q=Whittaker+%E2%80%94+critiques+of+QS%2Fpersonal+informatics+pdf+DOI+readable+source</t>
  </si>
  <si>
    <t>HCI</t>
  </si>
  <si>
    <t>QS can be over-analytic, rationalistic, and authoritative.</t>
  </si>
  <si>
    <t>Avoid over-analytic capture that fails lived practice.</t>
  </si>
  <si>
    <t>Analysis can overrun experience.</t>
  </si>
  <si>
    <t>Phenomenological Registration Sheet</t>
  </si>
  <si>
    <t>A2-08</t>
  </si>
  <si>
    <t>Rapp &amp; Tirassa — PI for sport and healthy behavior</t>
  </si>
  <si>
    <t>https://iris.unito.it/retrieve/handle/2318/1679773/447148/POST-PRINT.pdf</t>
  </si>
  <si>
    <t>https://doi.org/10.1145/3196829</t>
  </si>
  <si>
    <t>Open postprint / DOI landing</t>
  </si>
  <si>
    <t>Priority B pass: open postprint located.</t>
  </si>
  <si>
    <t>Rapp &amp; Tirassa — PI for sport and healthy behavior pdf DOI readable source</t>
  </si>
  <si>
    <t>https://www.google.com/search?q=Rapp+%26+Tirassa+%E2%80%94+PI+for+sport+and+healthy+behavior+pdf+DOI+readable+source</t>
  </si>
  <si>
    <t>Translating PI into behavior change while watching limits.</t>
  </si>
  <si>
    <t>Behavior-change translation.</t>
  </si>
  <si>
    <t>Watch the limits.</t>
  </si>
  <si>
    <t>A2-09</t>
  </si>
  <si>
    <t>Elsden et al. — making sense of personal data</t>
  </si>
  <si>
    <t>https://elsden.me/publications/</t>
  </si>
  <si>
    <t>https://dl.acm.org/doi/10.1145/2858036.2858403</t>
  </si>
  <si>
    <t>Author publications / DOI landing</t>
  </si>
  <si>
    <t>Priority B pass: author publication page and DOI located; needs exact full-text retrieval next.</t>
  </si>
  <si>
    <t>Elsden et al. — making sense of personal data pdf DOI readable source</t>
  </si>
  <si>
    <t>https://www.google.com/search?q=Elsden+et+al.+%E2%80%94+making+sense+of+personal+data+pdf+DOI+readable+source</t>
  </si>
  <si>
    <t>DESIGN/CRITIQUE</t>
  </si>
  <si>
    <t>Plural, experiential interpretations of personal data.</t>
  </si>
  <si>
    <t>Support plural data interpretation.</t>
  </si>
  <si>
    <t>Data is interpreted, not given.</t>
  </si>
  <si>
    <t>A2-10</t>
  </si>
  <si>
    <t>Selke — Lifelogging</t>
  </si>
  <si>
    <t>https://link.springer.com/content/pdf/10.1007/978-3-658-10416-0.pdf</t>
  </si>
  <si>
    <t>https://link.springer.com/book/10.1007/978-3-658-10416-0</t>
  </si>
  <si>
    <t>Open/Publisher PDF</t>
  </si>
  <si>
    <t>Priority B pass: Springer PDF located.</t>
  </si>
  <si>
    <t>Selke — Lifelogging pdf DOI readable source</t>
  </si>
  <si>
    <t>https://www.google.com/search?q=Selke+%E2%80%94+Lifelogging+pdf+DOI+readable+source</t>
  </si>
  <si>
    <t>media studies</t>
  </si>
  <si>
    <t>Surveillance and identity implications of total capture.</t>
  </si>
  <si>
    <t>Surveillance caution.</t>
  </si>
  <si>
    <t>Total capture erodes selfhood.</t>
  </si>
  <si>
    <t>A3-01</t>
  </si>
  <si>
    <t>Limerick, Coyle &amp; Moore — Experience of Agency in HCI (review)</t>
  </si>
  <si>
    <t>https://pmc.ncbi.nlm.nih.gov/articles/PMC4140386/</t>
  </si>
  <si>
    <t>https://research.gold.ac.uk/id/eprint/11426/</t>
  </si>
  <si>
    <t>Open full text / PMC</t>
  </si>
  <si>
    <t>Frontiers in Human Neuroscience 2014, DOI 10.3389/fnhum.2014.00643.</t>
  </si>
  <si>
    <t>Limerick, Coyle &amp; Moore — Experience of Agency in HCI (review) pdf DOI readable source</t>
  </si>
  <si>
    <t>https://www.google.com/search?q=Limerick%2C+Coyle+%26+Moore+%E2%80%94+Experience+of+Agency+in+HCI+%28review%29+pdf+DOI+readable+source</t>
  </si>
  <si>
    <t>MECHANISM/MEASURE/ETHICS</t>
  </si>
  <si>
    <t>Sense of agency in HCI links control, feedback, assistance, ethics.</t>
  </si>
  <si>
    <t>Agency-preservation questions for tools/AI/forms.</t>
  </si>
  <si>
    <t>Agency is designable and measurable.</t>
  </si>
  <si>
    <t>A3-02</t>
  </si>
  <si>
    <t>Bennett, Metatla, Roudaut &amp; Mekler — HCI Agency/Autonomy</t>
  </si>
  <si>
    <t>https://arxiv.org/pdf/2301.12490</t>
  </si>
  <si>
    <t>https://arxiv.org/abs/2301.12490</t>
  </si>
  <si>
    <t>Open arXiv PDF / accepted CHI version</t>
  </si>
  <si>
    <t>Search results identify ACM DOI 10.1145/3544548.3580651. Note title-order ambiguity: matrix says agency/autonomy; arXiv page says autonomy/agency.</t>
  </si>
  <si>
    <t>Bennett, Metatla, Roudaut &amp; Mekler — HCI Agency/Autonomy pdf DOI readable source</t>
  </si>
  <si>
    <t>https://www.google.com/search?q=Bennett%2C+Metatla%2C+Roudaut+%26+Mekler+%E2%80%94+HCI+Agency%2FAutonomy+pdf+DOI+readable+source</t>
  </si>
  <si>
    <t>REVIEW/CRITIQUE/DESIGN</t>
  </si>
  <si>
    <t>30 years of ambiguous autonomy/agency usage in HCI.</t>
  </si>
  <si>
    <t>Force explicit agency criteria; kill vague autonomy talk.</t>
  </si>
  <si>
    <t>Autonomy must be operationalized.</t>
  </si>
  <si>
    <t>A3-03</t>
  </si>
  <si>
    <t>Schroeder et al. — Goal-Directed Self-Tracking</t>
  </si>
  <si>
    <t>https://dl.acm.org/doi/pdf/10.1145/3242587.3242643</t>
  </si>
  <si>
    <t>https://doi.org/10.1145/3242587.3242643</t>
  </si>
  <si>
    <t>ACM PDF / DOI landing</t>
  </si>
  <si>
    <t>Located - source landing</t>
  </si>
  <si>
    <t>ACM source located; access may require institution.</t>
  </si>
  <si>
    <t>Schroeder et al. — Goal-Directed Self-Tracking pdf DOI readable source</t>
  </si>
  <si>
    <t>https://www.google.com/search?q=Schroeder+et+al.+%E2%80%94+Goal-Directed+Self-Tracking+pdf+DOI+readable+source</t>
  </si>
  <si>
    <t>DESIGN/METHOD</t>
  </si>
  <si>
    <t>Self-tracking tools fail when goals are unstated/unsupported.</t>
  </si>
  <si>
    <t>Every tracking field must have a goal and use-case.</t>
  </si>
  <si>
    <t>No capture without purpose.</t>
  </si>
  <si>
    <t>A3-04</t>
  </si>
  <si>
    <t>Baumer &amp; Silberman — When the Implication Is Not to Design</t>
  </si>
  <si>
    <t>https://wtf.tw/ref/baumer.pdf</t>
  </si>
  <si>
    <t>https://dl.acm.org/doi/10.1145/2470654.2466455</t>
  </si>
  <si>
    <t>Readable PDF located for non-design implication article.</t>
  </si>
  <si>
    <t>Baumer &amp; Silberman — When the Implication Is Not to Design pdf DOI readable source</t>
  </si>
  <si>
    <t>https://www.google.com/search?q=Baumer+%26+Silberman+%E2%80%94+When+the+Implication+Is+Not+to+Design+pdf+DOI+readable+source</t>
  </si>
  <si>
    <t>CRITIQUE/DESIGN VETO</t>
  </si>
  <si>
    <t>Sometimes the right move is not to build technology.</t>
  </si>
  <si>
    <t>Formalize technology refusal.</t>
  </si>
  <si>
    <t>Non-design as a valid outcome.</t>
  </si>
  <si>
    <t>CF-4/CF-9</t>
  </si>
  <si>
    <t>A3-05</t>
  </si>
  <si>
    <t>Sengers, Boehner, David &amp; Kaye — Reflective Design</t>
  </si>
  <si>
    <t>https://people.csail.mit.edu/rcm/papers/ReflectiveDesign_CHI2005.pdf</t>
  </si>
  <si>
    <t>https://dl.acm.org/doi/10.1145/1054972.1055012</t>
  </si>
  <si>
    <t>Readable PDF located for Reflective Design.</t>
  </si>
  <si>
    <t>Sengers, Boehner, David &amp; Kaye — Reflective Design pdf DOI readable source</t>
  </si>
  <si>
    <t>https://www.google.com/search?q=Sengers%2C+Boehner%2C+David+%26+Kaye+%E2%80%94+Reflective+Design+pdf+DOI+readable+source</t>
  </si>
  <si>
    <t>Design to foster reflection rather than seamless optimization.</t>
  </si>
  <si>
    <t>Friction can be morally useful.</t>
  </si>
  <si>
    <t>Reflection over seamlessness.</t>
  </si>
  <si>
    <t>A3-06</t>
  </si>
  <si>
    <t>Bardzell &amp; Bardzell — Humanistic HCI</t>
  </si>
  <si>
    <t>https://www.morganclaypool.com/doi/pdf/10.2200/S00438ED1V01Y201207HCI015</t>
  </si>
  <si>
    <t>https://doi.org/10.2200/S00438ED1V01Y201207HCI015</t>
  </si>
  <si>
    <t>Publisher PDF / DOI landing</t>
  </si>
  <si>
    <t>Publisher PDF located; access may vary.</t>
  </si>
  <si>
    <t>Bardzell &amp; Bardzell — Humanistic HCI pdf DOI readable source</t>
  </si>
  <si>
    <t>https://www.google.com/search?q=Bardzell+%26+Bardzell+%E2%80%94+Humanistic+HCI+pdf+DOI+readable+source</t>
  </si>
  <si>
    <t>Connects HCI to meaning, value, interpretation.</t>
  </si>
  <si>
    <t>Keep HCI layer from becoming usability-only.</t>
  </si>
  <si>
    <t>Meaning as a design criterion.</t>
  </si>
  <si>
    <t>A3-07</t>
  </si>
  <si>
    <t>Friedman &amp; Kahn — Value Sensitive Design</t>
  </si>
  <si>
    <t>https://nissenbaum.tech.cornell.edu/papers/Value_Sensitive_Design.pdf</t>
  </si>
  <si>
    <t>https://link.springer.com/content/pdf/10.1007/978-94-007-7844-3_4.pdf</t>
  </si>
  <si>
    <t>Open PDF / chapter PDF</t>
  </si>
  <si>
    <t>VSD paper/chapter source located; row label should include Borning in final citation if using this source.</t>
  </si>
  <si>
    <t>Friedman &amp; Kahn — Value Sensitive Design pdf DOI readable source</t>
  </si>
  <si>
    <t>https://www.google.com/search?q=Friedman+%26+Kahn+%E2%80%94+Value+Sensitive+Design+pdf+DOI+readable+source</t>
  </si>
  <si>
    <t>METHOD/DESIGN</t>
  </si>
  <si>
    <t>Method for embedding values into technology design.</t>
  </si>
  <si>
    <t>Embed values into artifact design.</t>
  </si>
  <si>
    <t>Values-by-design.</t>
  </si>
  <si>
    <t>A3-08</t>
  </si>
  <si>
    <t>Light, Burgess &amp; Duguay — The Walkthrough Method</t>
  </si>
  <si>
    <t>https://salford-repository.worktribe.com/preview/1493547/The20Walkthrough20Method20-20Final20Pre-print20version1.pdf</t>
  </si>
  <si>
    <t>https://doi.org/10.1177/1461444816675438</t>
  </si>
  <si>
    <t>Open preprint / DOI landing</t>
  </si>
  <si>
    <t>Author preprint and DOI landing located.</t>
  </si>
  <si>
    <t>Light, Burgess &amp; Duguay — The Walkthrough Method pdf DOI readable source</t>
  </si>
  <si>
    <t>https://www.google.com/search?q=Light%2C+Burgess+%26+Duguay+%E2%80%94+The+Walkthrough+Method+pdf+DOI+readable+source</t>
  </si>
  <si>
    <t>METHOD/CRITIQUE</t>
  </si>
  <si>
    <t>media/HCI</t>
  </si>
  <si>
    <t>Analyze apps via expected use, vision, interface, governance.</t>
  </si>
  <si>
    <t>Audit tools before adopting them.</t>
  </si>
  <si>
    <t>Interrogate the app's intended use.</t>
  </si>
  <si>
    <t>A3-09</t>
  </si>
  <si>
    <t>Pierce — Undesigning Technology</t>
  </si>
  <si>
    <t>https://doi.org/10.1145/2207676.2208540</t>
  </si>
  <si>
    <t>DOI landing / ACM access</t>
  </si>
  <si>
    <t>No clearly legal open PDF found in pass; ACM DOI path recorded.</t>
  </si>
  <si>
    <t>Pierce — Undesigning Technology pdf DOI readable source</t>
  </si>
  <si>
    <t>https://www.google.com/search?q=Pierce+%E2%80%94+Undesigning+Technology+pdf+DOI+readable+source</t>
  </si>
  <si>
    <t>DESIGN VETO/CRITIQUE</t>
  </si>
  <si>
    <t>Removal, refusal, deactivation as positive design moves.</t>
  </si>
  <si>
    <t>Support undesign/reversibility.</t>
  </si>
  <si>
    <t>Refusal is design.</t>
  </si>
  <si>
    <t>CF-9</t>
  </si>
  <si>
    <t>Reversibility Check</t>
  </si>
  <si>
    <t>A3-10</t>
  </si>
  <si>
    <t>Rapp &amp; Boldi — open issues in persuasive technologies</t>
  </si>
  <si>
    <t>https://iris.unito.it/retrieve/handle/2318/2014670/1377111/HCII24-ready-v50-final.pdf</t>
  </si>
  <si>
    <t>https://doi.org/10.1007/978-3-031-60428-7_8</t>
  </si>
  <si>
    <t>Open author manuscript / DOI landing</t>
  </si>
  <si>
    <t>Author manuscript and DOI landing located.</t>
  </si>
  <si>
    <t>Rapp &amp; Boldi — open issues in persuasive technologies pdf DOI readable source</t>
  </si>
  <si>
    <t>https://www.google.com/search?q=Rapp+%26+Boldi+%E2%80%94+open+issues+in+persuasive+technologies+pdf+DOI+readable+source</t>
  </si>
  <si>
    <t>Manipulation and agency harms in persuasion design.</t>
  </si>
  <si>
    <t>Detect manipulation/agency harm.</t>
  </si>
  <si>
    <t>Persuasion can override agency.</t>
  </si>
  <si>
    <t>A4-01</t>
  </si>
  <si>
    <t>Kaplan &amp; Kaplan — The Experience of Nature</t>
  </si>
  <si>
    <t>https://archive.org/details/experienceofnatu0000kapl</t>
  </si>
  <si>
    <t>https://www.cambridge.org/core/books/experience-of-nature/A378A2C517FB18B356519D1E5025001C</t>
  </si>
  <si>
    <t>Archive lending and Cambridge landing located.</t>
  </si>
  <si>
    <t>Kaplan &amp; Kaplan — The Experience of Nature pdf DOI readable source</t>
  </si>
  <si>
    <t>https://www.google.com/search?q=Kaplan+%26+Kaplan+%E2%80%94+The+Experience+of+Nature+pdf+DOI+readable+source</t>
  </si>
  <si>
    <t>environmental psych</t>
  </si>
  <si>
    <t>Attention Restoration Theory; directed-attention fatigue and recovery.</t>
  </si>
  <si>
    <t>Design recovery environments (the restoration half).</t>
  </si>
  <si>
    <t>Recovery depends on relation to place.</t>
  </si>
  <si>
    <t>CF-6</t>
  </si>
  <si>
    <t>A4-02</t>
  </si>
  <si>
    <t>Berman, Jonides &amp; Kaplan — Cognitive Benefits of Nature</t>
  </si>
  <si>
    <t>https://www.umich.edu/~jlabpsyc/pdf/2008_2.pdf</t>
  </si>
  <si>
    <t>https://doi.org/10.1111/j.1467-9280.2008.02225.x</t>
  </si>
  <si>
    <t>Readable PDF located for cognitive benefits of nature interaction.</t>
  </si>
  <si>
    <t>Berman, Jonides &amp; Kaplan — Cognitive Benefits of Nature pdf DOI readable source</t>
  </si>
  <si>
    <t>https://www.google.com/search?q=Berman%2C+Jonides+%26+Kaplan+%E2%80%94+Cognitive+Benefits+of+Nature+pdf+DOI+readable+source</t>
  </si>
  <si>
    <t>Nature interaction improves directed-attention performance.</t>
  </si>
  <si>
    <t>Evidence for recovery spaces/nature contact.</t>
  </si>
  <si>
    <t>Environment restores cognition.</t>
  </si>
  <si>
    <t>Workday Interruption Protocol</t>
  </si>
  <si>
    <t>A4-03</t>
  </si>
  <si>
    <t>Scannell &amp; Gifford — Place Attachment (tripartite framework)</t>
  </si>
  <si>
    <t>https://www.researchgate.net/publication/223552061_Defining_place_attachment_A_tripartite_organizing_framework</t>
  </si>
  <si>
    <t>https://doi.org/10.1016/j.jenvp.2009.09.006</t>
  </si>
  <si>
    <t>ResearchGate / DOI landing</t>
  </si>
  <si>
    <t>Located - readable or request source</t>
  </si>
  <si>
    <t>Source located; DOI landing recorded. Check accessible copy during charting.</t>
  </si>
  <si>
    <t>Scannell &amp; Gifford — Place Attachment (tripartite framework) pdf DOI readable source</t>
  </si>
  <si>
    <t>https://www.google.com/search?q=Scannell+%26+Gifford+%E2%80%94+Place+Attachment+%28tripartite+framework%29+pdf+DOI+readable+source</t>
  </si>
  <si>
    <t>CONSTRUCT/MEASURE</t>
  </si>
  <si>
    <t>Place attachment = person + process + place.</t>
  </si>
  <si>
    <t>Operationalize environmental attunement (C3).</t>
  </si>
  <si>
    <t>Place is not interchangeable.</t>
  </si>
  <si>
    <t>A4-04</t>
  </si>
  <si>
    <t>Menatti et al. — Place Attachment &amp; Landscape Restorativeness</t>
  </si>
  <si>
    <t>https://repositorio.udd.cl/bitstream/11447/6275/1/Place%20attachment%20and%20identification%20as%20predictors%20of%20expected%20landscape%20restorativeness.pdf</t>
  </si>
  <si>
    <t>https://doi.org/10.1016/j.jenvp.2019.03.005</t>
  </si>
  <si>
    <t>Open repository PDF located.</t>
  </si>
  <si>
    <t>Menatti et al. — Place Attachment &amp; Landscape Restorativeness pdf DOI readable source</t>
  </si>
  <si>
    <t>https://www.google.com/search?q=Menatti+et+al.+%E2%80%94+Place+Attachment+%26+Landscape+Restorativeness+pdf+DOI+readable+source</t>
  </si>
  <si>
    <t>MEASURE</t>
  </si>
  <si>
    <t>Person-place bonding raises expected restorativeness.</t>
  </si>
  <si>
    <t>Relation shapes recovery potential.</t>
  </si>
  <si>
    <t>Attachment feeds restoration.</t>
  </si>
  <si>
    <t>A4-05</t>
  </si>
  <si>
    <t>Yoon et al. — Perceived Restorativeness &amp; Place Attachment</t>
  </si>
  <si>
    <t>https://www.frontiersin.org/journals/psychology/articles/10.3389/fpsyg.2023.1201112/pdf</t>
  </si>
  <si>
    <t>https://doi.org/10.3389/fpsyg.2023.1201112</t>
  </si>
  <si>
    <t>Open Frontiers PDF located.</t>
  </si>
  <si>
    <t>Yoon et al. — Perceived Restorativeness &amp; Place Attachment pdf DOI readable source</t>
  </si>
  <si>
    <t>https://www.google.com/search?q=Yoon+et+al.+%E2%80%94+Perceived+Restorativeness+%26+Place+Attachment+pdf+DOI+readable+source</t>
  </si>
  <si>
    <t>Perceived restorativeness positively influences place attachment; moderated by sensitivity.</t>
  </si>
  <si>
    <t>Link restorativeness to attunement.</t>
  </si>
  <si>
    <t>Restoration and attachment co-vary.</t>
  </si>
  <si>
    <t>A4-06</t>
  </si>
  <si>
    <t>Chang et al. — Place Attachment &amp; Pro-Environmental Intentions</t>
  </si>
  <si>
    <t>https://pmc.ncbi.nlm.nih.gov/articles/PMC12832409/</t>
  </si>
  <si>
    <t>https://doi.org/10.3389/fpsyg.2025.1678177</t>
  </si>
  <si>
    <t>Open PMC/Frontiers source located.</t>
  </si>
  <si>
    <t>Chang et al. — Place Attachment &amp; Pro-Environmental Intentions pdf DOI readable source</t>
  </si>
  <si>
    <t>https://www.google.com/search?q=Chang+et+al.+%E2%80%94+Place+Attachment+%26+Pro-Environmental+Intentions+pdf+DOI+readable+source</t>
  </si>
  <si>
    <t>Place attachment + nature connectedness predict pro-environmental behavior.</t>
  </si>
  <si>
    <t>Ecological stake: inhabitation vs extraction.</t>
  </si>
  <si>
    <t>Attachment yields care.</t>
  </si>
  <si>
    <t>A4-07</t>
  </si>
  <si>
    <t>Hartig et al. — Perceived Restorativeness Scale</t>
  </si>
  <si>
    <t>https://blogs.ubc.ca/2017wufor200/files/2017/02/Perceived-Restorativeness-Scale-Hartig-et-al-1997.pdf</t>
  </si>
  <si>
    <t>https://kipdf.com/validation-of-a-measure-of-perceived-environmental-restorativeness-1_5ac406811723dd66fecf6d6e.html</t>
  </si>
  <si>
    <t>Scale PDF / source text path</t>
  </si>
  <si>
    <t>PRS instrument PDF and validation-paper access path located; verify exact Hartig citation during charting.</t>
  </si>
  <si>
    <t>Hartig et al. — Perceived Restorativeness Scale pdf DOI readable source</t>
  </si>
  <si>
    <t>https://www.google.com/search?q=Hartig+et+al.+%E2%80%94+Perceived+Restorativeness+Scale+pdf+DOI+readable+source</t>
  </si>
  <si>
    <t>Validated measure of environmental restorativeness.</t>
  </si>
  <si>
    <t>Candidate measure for C3.</t>
  </si>
  <si>
    <t>Restoration is measurable.</t>
  </si>
  <si>
    <t>A4-08</t>
  </si>
  <si>
    <t>Korpela — restorative environments &amp; self-regulation</t>
  </si>
  <si>
    <t>https://aaltodoc.aalto.fi/bitstreams/006d5f9f-b0e8-42fe-accb-15491d28b58e/download</t>
  </si>
  <si>
    <t>https://doi.org/10.1006/jevp.2002.0277</t>
  </si>
  <si>
    <t>Aalto repository PDF and DOI landing located.</t>
  </si>
  <si>
    <t>Korpela — restorative environments &amp; self-regulation pdf DOI readable source</t>
  </si>
  <si>
    <t>https://www.google.com/search?q=Korpela+%E2%80%94+restorative+environments+%26+self-regulation+pdf+DOI+readable+source</t>
  </si>
  <si>
    <t>Favorite places support affect regulation.</t>
  </si>
  <si>
    <t>Link place to emotion regulation (M3).</t>
  </si>
  <si>
    <t>Place regulates affect.</t>
  </si>
  <si>
    <t>A4-09</t>
  </si>
  <si>
    <t>Lewicka — Place Attachment: 40 years</t>
  </si>
  <si>
    <t>https://docslib.org/doc/6265744/place-attachment-how-far-have-we-come-in-the-last-40-years</t>
  </si>
  <si>
    <t>https://doi.org/10.1016/j.jenvp.2010.10.001</t>
  </si>
  <si>
    <t>Readable HTML/PDF mirror / DOI landing</t>
  </si>
  <si>
    <t>Readable copy and DOI located; prefer legal institutional access if available.</t>
  </si>
  <si>
    <t>Lewicka — Place Attachment: 40 years pdf DOI readable source</t>
  </si>
  <si>
    <t>https://www.google.com/search?q=Lewicka+%E2%80%94+Place+Attachment%3A+40+years+pdf+DOI+readable+source</t>
  </si>
  <si>
    <t>REVIEW</t>
  </si>
  <si>
    <t>Major review of place attachment literature.</t>
  </si>
  <si>
    <t>Orientation for the construct.</t>
  </si>
  <si>
    <t>Breadth of place research.</t>
  </si>
  <si>
    <t>Construct Dictionary</t>
  </si>
  <si>
    <t>A4-10</t>
  </si>
  <si>
    <t>Gibson — The Ecological Approach to Visual Perception</t>
  </si>
  <si>
    <t>https://archive.org/details/ecologicalapproa0000gibs</t>
  </si>
  <si>
    <t>https://www.routledge.com/The-Ecological-Approach-to-Visual-Perception/Gibson/p/book/9781848725782</t>
  </si>
  <si>
    <t>Archive lending path located; use legal borrowed/purchased copy for charting.</t>
  </si>
  <si>
    <t>Gibson — The Ecological Approach to Visual Perception pdf DOI readable source</t>
  </si>
  <si>
    <t>https://www.google.com/search?q=Gibson+%E2%80%94+The+Ecological+Approach+to+Visual+Perception+pdf+DOI+readable+source</t>
  </si>
  <si>
    <t>perception</t>
  </si>
  <si>
    <t>Affordances; perception geared to situated action.</t>
  </si>
  <si>
    <t>Ground situated action/affordances.</t>
  </si>
  <si>
    <t>Environment offers action.</t>
  </si>
  <si>
    <t>A5-01</t>
  </si>
  <si>
    <t>Varela — Neurophenomenology</t>
  </si>
  <si>
    <t>https://docslib.org/doc/729945/neurophenomenology-a-methodological-remedy-for-the-hard-problem-francisco-j</t>
  </si>
  <si>
    <t>https://www.ingentaconnect.com/content/imp/jcs/1996/00000003/00000004/718</t>
  </si>
  <si>
    <t>Open HTML/PDF mirror / publisher landing</t>
  </si>
  <si>
    <t>Readable copy located; publisher landing recorded.</t>
  </si>
  <si>
    <t>Varela — Neurophenomenology pdf DOI readable source</t>
  </si>
  <si>
    <t>https://www.google.com/search?q=Varela+%E2%80%94+Neurophenomenology+pdf+DOI+readable+source</t>
  </si>
  <si>
    <t>METHOD/TELOS</t>
  </si>
  <si>
    <t>Cognitive science needs disciplined first-person methods.</t>
  </si>
  <si>
    <t>Justify phenomenological capture alongside metrics.</t>
  </si>
  <si>
    <t>Experience is data too.</t>
  </si>
  <si>
    <t>A5-02</t>
  </si>
  <si>
    <t>Petitmengin — Describing Experience in the Second Person</t>
  </si>
  <si>
    <t>https://clairepetitmengin.fr/AArticles%20versions%20finales/PCS%20-%20Second%20Person.pdf</t>
  </si>
  <si>
    <t>https://link.springer.com/article/10.1007/s11097-006-9022-2</t>
  </si>
  <si>
    <t>Open author PDF / DOI landing</t>
  </si>
  <si>
    <t>Author PDF located.</t>
  </si>
  <si>
    <t>Petitmengin — Describing Experience in the Second Person pdf DOI readable source</t>
  </si>
  <si>
    <t>https://www.google.com/search?q=Petitmengin+%E2%80%94+Describing+Experience+in+the+Second+Person+pdf+DOI+readable+source</t>
  </si>
  <si>
    <t>phenomenology</t>
  </si>
  <si>
    <t>Micro-phenomenological interview evokes specific lived episodes.</t>
  </si>
  <si>
    <t>Design episode-evoking prompts, not opinion prompts.</t>
  </si>
  <si>
    <t>Preserve fine-grained experience.</t>
  </si>
  <si>
    <t>A5-03</t>
  </si>
  <si>
    <t>Petitmengin et al. — micro-phenomenology studies</t>
  </si>
  <si>
    <t>https://hal.science/hal-02264833v1/file/PCS%20-%20Article%20analyse.pdf</t>
  </si>
  <si>
    <t>https://doi.org/10.1007/s11097-018-9597-4</t>
  </si>
  <si>
    <t>Open HAL PDF located for micro-phenomenological analysis method.</t>
  </si>
  <si>
    <t>Petitmengin et al. — micro-phenomenology studies pdf DOI readable source</t>
  </si>
  <si>
    <t>https://www.google.com/search?q=Petitmengin+et+al.+%E2%80%94+micro-phenomenology+studies+pdf+DOI+readable+source</t>
  </si>
  <si>
    <t>METHOD/EMPIRICAL</t>
  </si>
  <si>
    <t>Fine-grained description can become usable evidence.</t>
  </si>
  <si>
    <t>Capture onset/transition/arousal experience.</t>
  </si>
  <si>
    <t>Description yields signal.</t>
  </si>
  <si>
    <t>A5-04</t>
  </si>
  <si>
    <t>Valenzuela-Moguillansky &amp; Vasquez-Rosati — Analysis Procedure</t>
  </si>
  <si>
    <t>https://constructivist.info/14/2/123.valenzuela.pdf</t>
  </si>
  <si>
    <t>https://constructivist.info/14/2/123</t>
  </si>
  <si>
    <t>Open Constructivist Foundations PDF located.</t>
  </si>
  <si>
    <t>Valenzuela-Moguillansky &amp; Vasquez-Rosati — Analysis Procedure pdf DOI readable source</t>
  </si>
  <si>
    <t>https://www.google.com/search?q=Valenzuela-Moguillansky+%26+Vasquez-Rosati+%E2%80%94+Analysis+Procedure+pdf+DOI+readable+source</t>
  </si>
  <si>
    <t>METHOD/ANALYSIS</t>
  </si>
  <si>
    <t>Stepwise analysis procedure for micro-phenomenological data.</t>
  </si>
  <si>
    <t>Analyze registration notes without flattening them.</t>
  </si>
  <si>
    <t>Structured, non-reductive analysis.</t>
  </si>
  <si>
    <t>A5-05</t>
  </si>
  <si>
    <t>Hurlburt &amp; Heavey — Descriptive Experience Sampling</t>
  </si>
  <si>
    <t>http://www.hurlburt.faculty.unlv.edu/hurlburt-akhter-2006.pdf</t>
  </si>
  <si>
    <t>https://archive.org/details/exploringinnerex0000hurl</t>
  </si>
  <si>
    <t>DES method PDF and book archive located.</t>
  </si>
  <si>
    <t>Hurlburt &amp; Heavey — Descriptive Experience Sampling pdf DOI readable source</t>
  </si>
  <si>
    <t>https://www.google.com/search?q=Hurlburt+%26+Heavey+%E2%80%94+Descriptive+Experience+Sampling+pdf+DOI+readable+source</t>
  </si>
  <si>
    <t>Sampling near occurrence reduces retrospective bias.</t>
  </si>
  <si>
    <t>Semi-random in-the-moment state capture.</t>
  </si>
  <si>
    <t>Moment over narrative.</t>
  </si>
  <si>
    <t>A5-06</t>
  </si>
  <si>
    <t>Bass-Krueger et al. — DES vs Micro-Phenomenological Interviews</t>
  </si>
  <si>
    <t>https://www.indecs.eu/2024/indecs2024-pp84-106.pdf</t>
  </si>
  <si>
    <t>https://hrcak.srce.hr/en/clanak/454680</t>
  </si>
  <si>
    <t>Open PDF / journal landing</t>
  </si>
  <si>
    <t>Open INDECS PDF located.</t>
  </si>
  <si>
    <t>Bass-Krueger et al. — DES vs Micro-Phenomenological Interviews pdf DOI readable source</t>
  </si>
  <si>
    <t>https://www.google.com/search?q=Bass-Krueger+et+al.+%E2%80%94+DES+vs+Micro-Phenomenological+Interviews+pdf+DOI+readable+source</t>
  </si>
  <si>
    <t>METHOD/COMPARISON</t>
  </si>
  <si>
    <t>Compares two first-person methods relevant to Monstare.</t>
  </si>
  <si>
    <t>Choose immediate sampling vs episode interview.</t>
  </si>
  <si>
    <t>Method fit to moment.</t>
  </si>
  <si>
    <t>A5-07</t>
  </si>
  <si>
    <t>Depraz, Varela &amp; Vermersch — On Becoming Aware</t>
  </si>
  <si>
    <t>https://openlibrary.org/books/OL3570652M/On_becoming_aware</t>
  </si>
  <si>
    <t>https://benjamins.com/catalog/aicr.43</t>
  </si>
  <si>
    <t>Open Library/catalog / publisher landing</t>
  </si>
  <si>
    <t>Located - restricted/source landing</t>
  </si>
  <si>
    <t>Book access located via Open Library/catalog and John Benjamins landing; no open full text recorded.</t>
  </si>
  <si>
    <t>Depraz, Varela &amp; Vermersch — On Becoming Aware pdf DOI readable source</t>
  </si>
  <si>
    <t>https://www.google.com/search?q=Depraz%2C+Varela+%26+Vermersch+%E2%80%94+On+Becoming+Aware+pdf+DOI+readable+source</t>
  </si>
  <si>
    <t>Practice of becoming aware of experience.</t>
  </si>
  <si>
    <t>Grounding for awareness practice.</t>
  </si>
  <si>
    <t>Awareness is trainable.</t>
  </si>
  <si>
    <t>A5-08</t>
  </si>
  <si>
    <t>Csikszentmihalyi &amp; Larson — Experience Sampling Method</t>
  </si>
  <si>
    <t>https://link.springer.com/content/pdf/10.1007/978-94-017-9088-8_3.pdf</t>
  </si>
  <si>
    <t>https://doi.org/10.1007/978-94-017-9088-8_3</t>
  </si>
  <si>
    <t>Open Springer chapter PDF / DOI landing</t>
  </si>
  <si>
    <t>Csikszentmihalyi &amp; Larson ESM reliability/validity chapter located.</t>
  </si>
  <si>
    <t>Csikszentmihalyi &amp; Larson — Experience Sampling Method pdf DOI readable source</t>
  </si>
  <si>
    <t>https://www.google.com/search?q=Csikszentmihalyi+%26+Larson+%E2%80%94+Experience+Sampling+Method+pdf+DOI+readable+source</t>
  </si>
  <si>
    <t>Classic ESM foundation.</t>
  </si>
  <si>
    <t>ESM basis for engagement capture.</t>
  </si>
  <si>
    <t>Sample lived time.</t>
  </si>
  <si>
    <t>A5-09</t>
  </si>
  <si>
    <t>Zahavi — Subjectivity and Selfhood</t>
  </si>
  <si>
    <t>https://direct.mit.edu/books/monograph/2097/Subjectivity-and-SelfhoodInvestigating-the-First</t>
  </si>
  <si>
    <t>https://mitpress.mit.edu/9780262740340/subjectivity-and-selfhood/</t>
  </si>
  <si>
    <t>Publisher/direct book landing</t>
  </si>
  <si>
    <t>MIT Press landing/direct page located; use legal library/e-book access for charting.</t>
  </si>
  <si>
    <t>Zahavi — Subjectivity and Selfhood pdf DOI readable source</t>
  </si>
  <si>
    <t>https://www.google.com/search?q=Zahavi+%E2%80%94+Subjectivity+and+Selfhood+pdf+DOI+readable+source</t>
  </si>
  <si>
    <t>PHENOMENOLOGY/TELOS</t>
  </si>
  <si>
    <t>First-person givenness and self-experience.</t>
  </si>
  <si>
    <t>Clarify the self that is captured.</t>
  </si>
  <si>
    <t>Selfhood before scores.</t>
  </si>
  <si>
    <t>A5-10</t>
  </si>
  <si>
    <t>Gallagher &amp; Zahavi — The Phenomenological Mind</t>
  </si>
  <si>
    <t>https://archive.org/details/phenomenological0000gall</t>
  </si>
  <si>
    <t>https://digitalcommons.memphis.edu/facpubs/6410/</t>
  </si>
  <si>
    <t>Archive lending / faculty publication landing</t>
  </si>
  <si>
    <t>Archive lending and faculty publication page located.</t>
  </si>
  <si>
    <t>Gallagher &amp; Zahavi — The Phenomenological Mind pdf DOI readable source</t>
  </si>
  <si>
    <t>https://www.google.com/search?q=Gallagher+%26+Zahavi+%E2%80%94+The+Phenomenological+Mind+pdf+DOI+readable+source</t>
  </si>
  <si>
    <t>TELOS/METHOD</t>
  </si>
  <si>
    <t>Bridge between phenomenology and cognitive science.</t>
  </si>
  <si>
    <t>Accessible bridge for the team.</t>
  </si>
  <si>
    <t>Phenomenology meets cogsci.</t>
  </si>
  <si>
    <t>A6-01</t>
  </si>
  <si>
    <t>Laitinen &amp; Sahlgren — AI Systems and Respect for Human Autonomy</t>
  </si>
  <si>
    <t>https://trepo.tuni.fi/bitstream/handle/10024/220970/AI_systems_Laitinen_Sahlgren.pdf?sequence=1</t>
  </si>
  <si>
    <t>https://www.frontiersin.org/journals/artificial-intelligence/articles/10.3389/frai.2021.705164/full</t>
  </si>
  <si>
    <t>Open PDF and open full text</t>
  </si>
  <si>
    <t>Frontiers in Artificial Intelligence 2021, DOI 10.3389/frai.2021.705164.</t>
  </si>
  <si>
    <t>Laitinen &amp; Sahlgren — AI Systems and Respect for Human Autonomy pdf DOI readable source</t>
  </si>
  <si>
    <t>https://www.google.com/search?q=Laitinen+%26+Sahlgren+%E2%80%94+AI+Systems+and+Respect+for+Human+Autonomy+pdf+DOI+readable+source</t>
  </si>
  <si>
    <t>ETHICS/DESIGN/MEASURE</t>
  </si>
  <si>
    <t>AI ethics</t>
  </si>
  <si>
    <t>Multidimensional model of autonomy; how AI supports or hinders it.</t>
  </si>
  <si>
    <t>Autonomy audit for AI/automation.</t>
  </si>
  <si>
    <t>Core of the M7 audit.</t>
  </si>
  <si>
    <t>Fast-moving digital/AI/work trend</t>
  </si>
  <si>
    <t>6 months</t>
  </si>
  <si>
    <t>2027-02-13</t>
  </si>
  <si>
    <t>A6-02</t>
  </si>
  <si>
    <t>AI and Human Autonomy: A Literature Review</t>
  </si>
  <si>
    <t>https://link.springer.com/content/pdf/10.1007/s43681-025-00958-4.pdf</t>
  </si>
  <si>
    <t>https://link.springer.com/article/10.1007/s43681-025-00958-4</t>
  </si>
  <si>
    <t>Open/Springer PDF</t>
  </si>
  <si>
    <t>Open Springer PDF located.</t>
  </si>
  <si>
    <t>AI and Human Autonomy: A Literature Review pdf DOI readable source</t>
  </si>
  <si>
    <t>https://www.google.com/search?q=AI+and+Human+Autonomy%3A+A+Literature+Review+pdf+DOI+readable+source</t>
  </si>
  <si>
    <t>REVIEW/ETHICS</t>
  </si>
  <si>
    <t>Maps heterogeneous AI-autonomy debates.</t>
  </si>
  <si>
    <t>Map autonomy risks before agentic supports.</t>
  </si>
  <si>
    <t>Autonomy risk landscape.</t>
  </si>
  <si>
    <t>A6-03</t>
  </si>
  <si>
    <t>Shneiderman — Human-Centered AI</t>
  </si>
  <si>
    <t>https://arxiv.org/pdf/2002.04087</t>
  </si>
  <si>
    <t>https://doi.org/10.1145/3419764</t>
  </si>
  <si>
    <t>Arxiv PDF and DOI landing located.</t>
  </si>
  <si>
    <t>Shneiderman — Human-Centered AI pdf DOI readable source</t>
  </si>
  <si>
    <t>https://www.google.com/search?q=Shneiderman+%E2%80%94+Human-Centered+AI+pdf+DOI+readable+source</t>
  </si>
  <si>
    <t>DESIGN/ETHICS</t>
  </si>
  <si>
    <t>HCI/AI</t>
  </si>
  <si>
    <t>Reliable, safe, trustworthy AI with high human control.</t>
  </si>
  <si>
    <t>High human control; clear tool boundaries.</t>
  </si>
  <si>
    <t>Human agency at the center.</t>
  </si>
  <si>
    <t>A6-04</t>
  </si>
  <si>
    <t>Parasuraman &amp; Riley — Use, Misuse, Disuse, Abuse</t>
  </si>
  <si>
    <t>https://web.mit.edu/16.459/www/parasuraman.pdf?source=post_page---------------------------</t>
  </si>
  <si>
    <t>https://doi.org/10.1518/001872097778543886</t>
  </si>
  <si>
    <t>Open PDF copy / publisher DOI</t>
  </si>
  <si>
    <t>Human Factors 1997; DOI 10.1518/001872097778543886.</t>
  </si>
  <si>
    <t>Parasuraman &amp; Riley — Use, Misuse, Disuse, Abuse pdf DOI readable source</t>
  </si>
  <si>
    <t>https://www.google.com/search?q=Parasuraman+%26+Riley+%E2%80%94+Use%2C+Misuse%2C+Disuse%2C+Abuse+pdf+DOI+readable+source</t>
  </si>
  <si>
    <t>WARNING/MECHANISM</t>
  </si>
  <si>
    <t>human factors</t>
  </si>
  <si>
    <t>Taxonomy of automation reliance failures.</t>
  </si>
  <si>
    <t>Distinguish helpful reliance from dependency/disuse.</t>
  </si>
  <si>
    <t>Reliance can degrade.</t>
  </si>
  <si>
    <t>A6-05</t>
  </si>
  <si>
    <t>Parasuraman, Sheridan &amp; Wickens — Levels of Automation</t>
  </si>
  <si>
    <t>https://www.researchgate.net/profile/Raja-Parasuraman/publication/11596569_A_model_for_types_and_levels_of_human_interaction_with_automation_IEEE_Trans_Syst_Man_Cybern_Part_A_Syst_Hum_303_286-297/links/0fcfd50c098e2edd75000000/A-model-for-types-and-levels-of-human-interaction-with-automation-IEEE-Trans-Syst-Man-Cybern-Part-A-Syst-Hum-303-286-297.pdf</t>
  </si>
  <si>
    <t>https://ieeexplore.ieee.org/document/844354</t>
  </si>
  <si>
    <t>ResearchGate PDF / IEEE landing</t>
  </si>
  <si>
    <t>PDF copy located; IEEE landing recorded.</t>
  </si>
  <si>
    <t>Parasuraman, Sheridan &amp; Wickens — Levels of Automation pdf DOI readable source</t>
  </si>
  <si>
    <t>https://www.google.com/search?q=Parasuraman%2C+Sheridan+%26+Wickens+%E2%80%94+Levels+of+Automation+pdf+DOI+readable+source</t>
  </si>
  <si>
    <t>Types-and-levels framework for human-automation interaction.</t>
  </si>
  <si>
    <t>Decide what to automate vs author.</t>
  </si>
  <si>
    <t>Calibrate automation level.</t>
  </si>
  <si>
    <t>A6-06</t>
  </si>
  <si>
    <t>Eubanks — Automating Inequality</t>
  </si>
  <si>
    <t>https://archive.org/details/automatinginequa0000euba</t>
  </si>
  <si>
    <t>https://us.macmillan.com/books/9781250074317/automatinginequality</t>
  </si>
  <si>
    <t>Archive lending/publisher page located.</t>
  </si>
  <si>
    <t>Eubanks — Automating Inequality pdf DOI readable source</t>
  </si>
  <si>
    <t>https://www.google.com/search?q=Eubanks+%E2%80%94+Automating+Inequality+pdf+DOI+readable+source</t>
  </si>
  <si>
    <t>WARNING/ETHICS</t>
  </si>
  <si>
    <t>STS/policy</t>
  </si>
  <si>
    <t>Automated systems encode harm and governance power.</t>
  </si>
  <si>
    <t>Caution against invisible decision systems.</t>
  </si>
  <si>
    <t>Automation can harm invisibly.</t>
  </si>
  <si>
    <t>A6-07</t>
  </si>
  <si>
    <t>Nissenbaum — Privacy in Context</t>
  </si>
  <si>
    <t>https://archive.org/details/privacyincontext0000niss</t>
  </si>
  <si>
    <t>https://www.sup.org/books/law/privacy-context</t>
  </si>
  <si>
    <t>Archive lending and Stanford University Press landing located.</t>
  </si>
  <si>
    <t>Nissenbaum — Privacy in Context pdf DOI readable source</t>
  </si>
  <si>
    <t>https://www.google.com/search?q=Nissenbaum+%E2%80%94+Privacy+in+Context+pdf+DOI+readable+source</t>
  </si>
  <si>
    <t>ETHICS/DESIGN</t>
  </si>
  <si>
    <t>info ethics</t>
  </si>
  <si>
    <t>Contextual integrity governs appropriate data flows.</t>
  </si>
  <si>
    <t>Contextual integrity for capture.</t>
  </si>
  <si>
    <t>Data has contextual norms.</t>
  </si>
  <si>
    <t>A6-08</t>
  </si>
  <si>
    <t>Mittelstadt et al. — The Ethics of Algorithms</t>
  </si>
  <si>
    <t>https://www.sfu.ca/~palys/MittelstadtEtAl-2016-TheEthicsOfAlgorithms.pdf</t>
  </si>
  <si>
    <t>https://doi.org/10.1177/2053951716679679</t>
  </si>
  <si>
    <t>Open PDF and DOI located.</t>
  </si>
  <si>
    <t>Mittelstadt et al. — The Ethics of Algorithms pdf DOI readable source</t>
  </si>
  <si>
    <t>https://www.google.com/search?q=Mittelstadt+et+al.+%E2%80%94+The+Ethics+of+Algorithms+pdf+DOI+readable+source</t>
  </si>
  <si>
    <t>ETHICS/WARNING</t>
  </si>
  <si>
    <t>Opacity, responsibility, bias, autonomy concerns.</t>
  </si>
  <si>
    <t>Checklist of algorithmic harms.</t>
  </si>
  <si>
    <t>Opacity threatens autonomy.</t>
  </si>
  <si>
    <t>A6-09</t>
  </si>
  <si>
    <t>Wachter, Mittelstadt &amp; Floridi — transparent/explainable AI</t>
  </si>
  <si>
    <t>https://discovery.ucl.ac.uk/id/eprint/10038294/</t>
  </si>
  <si>
    <t>https://doi.org/10.1126/scirobotics.aan6080</t>
  </si>
  <si>
    <t>Open repository / DOI landing</t>
  </si>
  <si>
    <t>UCL accepted manuscript and Science Robotics DOI located.</t>
  </si>
  <si>
    <t>Wachter, Mittelstadt &amp; Floridi — transparent/explainable AI pdf DOI readable source</t>
  </si>
  <si>
    <t>https://www.google.com/search?q=Wachter%2C+Mittelstadt+%26+Floridi+%E2%80%94+transparent%2Fexplainable+AI+pdf+DOI+readable+source</t>
  </si>
  <si>
    <t>AI governance</t>
  </si>
  <si>
    <t>Transparency/explanation in automated decisions.</t>
  </si>
  <si>
    <t>Explainability requirements.</t>
  </si>
  <si>
    <t>Explanation supports agency.</t>
  </si>
  <si>
    <t>A6-10</t>
  </si>
  <si>
    <t>Calo — Robotics and the Lessons of Cyberlaw</t>
  </si>
  <si>
    <t>https://techpolicylab.uw.edu/wp-content/uploads/2018/06/Robotics-Lessons-Cyberlaw-Calo.pdf</t>
  </si>
  <si>
    <t>https://digitalcommons.law.uw.edu/faculty-articles/23/</t>
  </si>
  <si>
    <t>Open PDF / faculty repository landing</t>
  </si>
  <si>
    <t>University-hosted PDF and UW faculty repository located.</t>
  </si>
  <si>
    <t>Calo — Robotics and the Lessons of Cyberlaw pdf DOI readable source</t>
  </si>
  <si>
    <t>https://www.google.com/search?q=Calo+%E2%80%94+Robotics+and+the+Lessons+of+Cyberlaw+pdf+DOI+readable+source</t>
  </si>
  <si>
    <t>ETHICS/GOVERNANCE</t>
  </si>
  <si>
    <t>law/tech</t>
  </si>
  <si>
    <t>Governance lessons for embodied/automated systems.</t>
  </si>
  <si>
    <t>Governance framing.</t>
  </si>
  <si>
    <t>Law shapes tool use.</t>
  </si>
  <si>
    <t>A7-01</t>
  </si>
  <si>
    <t>Risko &amp; Gilbert — Cognitive Offloading</t>
  </si>
  <si>
    <t>https://discovery.ucl.ac.uk/id/eprint/1508770/1/gilbert_TiCS_OFFLOADING_RPS.pdf</t>
  </si>
  <si>
    <t>https://doi.org/10.1016/j.tics.2016.07.002</t>
  </si>
  <si>
    <t>Open UCL PDF located.</t>
  </si>
  <si>
    <t>Risko &amp; Gilbert — Cognitive Offloading pdf DOI readable source</t>
  </si>
  <si>
    <t>https://www.google.com/search?q=Risko+%26+Gilbert+%E2%80%94+Cognitive+Offloading+pdf+DOI+readable+source</t>
  </si>
  <si>
    <t>MECHANISM/WARNING</t>
  </si>
  <si>
    <t>Using external aids to reduce cognitive demand; adaptive vs atrophy.</t>
  </si>
  <si>
    <t>Distinguish adaptive offloading from atrophy.</t>
  </si>
  <si>
    <t>Offloading has a cost.</t>
  </si>
  <si>
    <t>A7-02</t>
  </si>
  <si>
    <t>Sparrow, Liu &amp; Wegner — Google Effects on Memory</t>
  </si>
  <si>
    <t>https://pubmed.ncbi.nlm.nih.gov/21764755/</t>
  </si>
  <si>
    <t>https://www.science.org/doi/10.1126/science.1207745</t>
  </si>
  <si>
    <t>PubMed / DOI landing</t>
  </si>
  <si>
    <t>PubMed and Science DOI located; use institutional/legal access for final full text.</t>
  </si>
  <si>
    <t>Sparrow, Liu &amp; Wegner — Google Effects on Memory pdf DOI readable source</t>
  </si>
  <si>
    <t>https://www.google.com/search?q=Sparrow%2C+Liu+%26+Wegner+%E2%80%94+Google+Effects+on+Memory+pdf+DOI+readable+source</t>
  </si>
  <si>
    <t>Expecting external availability changes what is remembered.</t>
  </si>
  <si>
    <t>External memory reshapes recall.</t>
  </si>
  <si>
    <t>Availability alters memory.</t>
  </si>
  <si>
    <t>A7-03</t>
  </si>
  <si>
    <t>Zhu et al. — Dependent vs Autonomous Offloading to GenAI</t>
  </si>
  <si>
    <t>https://www.frontiersin.org/journals/psychology/articles/10.3389/fpsyg.2026.1878629/pdf</t>
  </si>
  <si>
    <t>https://pubmed.ncbi.nlm.nih.gov/42534412/</t>
  </si>
  <si>
    <t>Open PDF / PubMed</t>
  </si>
  <si>
    <t>Open Frontiers/PubMed source located.</t>
  </si>
  <si>
    <t>Zhu et al. — Dependent vs Autonomous Offloading to GenAI pdf DOI readable source</t>
  </si>
  <si>
    <t>https://www.google.com/search?q=Zhu+et+al.+%E2%80%94+Dependent+vs+Autonomous+Offloading+to+GenAI+pdf+DOI+readable+source</t>
  </si>
  <si>
    <t>EMPIRICAL/DESIGN</t>
  </si>
  <si>
    <t>Distinguishes dependent from autonomous offloading to generative AI.</t>
  </si>
  <si>
    <t>Direct rule: scaffold thinking without transferring agency.</t>
  </si>
  <si>
    <t>Autonomous vs dependent offloading.</t>
  </si>
  <si>
    <t>A7-04</t>
  </si>
  <si>
    <t>Chirayath et al. — Cognitive Offloading or Overload?</t>
  </si>
  <si>
    <t>https://public-pages-files-2025.frontiersin.org/journals/psychology/articles/10.3389/fpsyg.2025.1699320/pdf</t>
  </si>
  <si>
    <t>https://doi.org/10.3389/fpsyg.2025.1699320</t>
  </si>
  <si>
    <t>Chirayath et al. — Cognitive Offloading or Overload? pdf DOI readable source</t>
  </si>
  <si>
    <t>https://www.google.com/search?q=Chirayath+et+al.+%E2%80%94+Cognitive+Offloading+or+Overload%3F+pdf+DOI+readable+source</t>
  </si>
  <si>
    <t>WARNING/DESIGN</t>
  </si>
  <si>
    <t>AI as coping support and overload/dependency risk.</t>
  </si>
  <si>
    <t>Anti-overreliance; hypermonitoring risk.</t>
  </si>
  <si>
    <t>Support can become overload.</t>
  </si>
  <si>
    <t>A7-05</t>
  </si>
  <si>
    <t>Molenaar — Regulation of Learning and AI</t>
  </si>
  <si>
    <t>https://doaj.org/article/e98b82c211794158848a4c1363de1847</t>
  </si>
  <si>
    <t>https://doi.org/10.1016/j.caeai.2022.100070</t>
  </si>
  <si>
    <t>DOAJ / DOI landing</t>
  </si>
  <si>
    <t>DOAJ/ScienceDirect open access record located.</t>
  </si>
  <si>
    <t>Molenaar — Regulation of Learning and AI pdf DOI readable source</t>
  </si>
  <si>
    <t>https://www.google.com/search?q=Molenaar+%E2%80%94+Regulation+of+Learning+and+AI+pdf+DOI+readable+source</t>
  </si>
  <si>
    <t>learning sciences</t>
  </si>
  <si>
    <t>Distinguishes shared regulation from AI taking over regulation.</t>
  </si>
  <si>
    <t>AI as coach, not governor.</t>
  </si>
  <si>
    <t>Hybrid regulation, not takeover.</t>
  </si>
  <si>
    <t>A7-06</t>
  </si>
  <si>
    <t>Zimmerman — Self-Regulated Learning</t>
  </si>
  <si>
    <t>https://www.leiderschapsdomeinen.nl/wp-content/uploads/2016/12/Zimmerman-B.-2002-Becoming-Self-Regulated-Learner.pdf</t>
  </si>
  <si>
    <t>https://doi.org/10.1207/S15430421TIP4102_2</t>
  </si>
  <si>
    <t>Open PDF located.</t>
  </si>
  <si>
    <t>Zimmerman — Self-Regulated Learning pdf DOI readable source</t>
  </si>
  <si>
    <t>https://www.google.com/search?q=Zimmerman+%E2%80%94+Self-Regulated+Learning+pdf+DOI+readable+source</t>
  </si>
  <si>
    <t>educational psych</t>
  </si>
  <si>
    <t>Forethought, performance, reflection cycle.</t>
  </si>
  <si>
    <t>Ensure AI does not bypass planning/monitoring/reflection.</t>
  </si>
  <si>
    <t>Preserve the SRL cycle.</t>
  </si>
  <si>
    <t>A7-07</t>
  </si>
  <si>
    <t>Salomon, Perkins &amp; Globerson — Partners in Cognition</t>
  </si>
  <si>
    <t>http://www.acousticslab.org/dots_sample/module5/SalomonEtAl1991.pdf</t>
  </si>
  <si>
    <t>https://doi.org/10.3102/0013189X020003002</t>
  </si>
  <si>
    <t>Readable PDF and DOI located.</t>
  </si>
  <si>
    <t>Salomon, Perkins &amp; Globerson — Partners in Cognition pdf DOI readable source</t>
  </si>
  <si>
    <t>https://www.google.com/search?q=Salomon%2C+Perkins+%26+Globerson+%E2%80%94+Partners+in+Cognition+pdf+DOI+readable+source</t>
  </si>
  <si>
    <t>TELOS/DESIGN</t>
  </si>
  <si>
    <t>Effects with vs effects of intelligent technologies.</t>
  </si>
  <si>
    <t>Seek durable 'effects of' not just 'effects with'.</t>
  </si>
  <si>
    <t>Tools should leave capacity behind.</t>
  </si>
  <si>
    <t>A7-08</t>
  </si>
  <si>
    <t>Kirsh — The Intelligent Use of Space</t>
  </si>
  <si>
    <t>https://adrenaline.ucsd.edu/kirsh/Articles/Space/intelligent_useof_space.pdf</t>
  </si>
  <si>
    <t>https://adrenaline.ucsd.edu/kirsh/Articles/Space/AIJ1.html</t>
  </si>
  <si>
    <t>Author PDF / author HTML</t>
  </si>
  <si>
    <t>UCSD author PDF and HTML located.</t>
  </si>
  <si>
    <t>Kirsh — The Intelligent Use of Space pdf DOI readable source</t>
  </si>
  <si>
    <t>https://www.google.com/search?q=Kirsh+%E2%80%94+The+Intelligent+Use+of+Space+pdf+DOI+readable+source</t>
  </si>
  <si>
    <t>Offloading cognition to spatial arrangement.</t>
  </si>
  <si>
    <t>Environmental offloading design.</t>
  </si>
  <si>
    <t>Space as cognitive aid.</t>
  </si>
  <si>
    <t>A7-09</t>
  </si>
  <si>
    <t>Oulasvirta — offloading and interface design</t>
  </si>
  <si>
    <t>https://research.aalto.fi/files/42021453/Oulasvirta_Combinatorial_optimization_of_Graphical_user_interface.pdf</t>
  </si>
  <si>
    <t>https://www.aalto.fi/en/people/antti-oulasvirta</t>
  </si>
  <si>
    <t>Open related PDF / author profile</t>
  </si>
  <si>
    <t>Located - corrective source needed</t>
  </si>
  <si>
    <t>Exact row label is vague and may need replacement; accessible Oulasvirta UI-design source recorded as provisional offloading/interface-design anchor.</t>
  </si>
  <si>
    <t>Oulasvirta — offloading and interface design pdf DOI readable source</t>
  </si>
  <si>
    <t>https://www.google.com/search?q=Oulasvirta+%E2%80%94+offloading+and+interface+design+pdf+DOI+readable+source</t>
  </si>
  <si>
    <t>DESIGN</t>
  </si>
  <si>
    <t>Interface-level offloading considerations.</t>
  </si>
  <si>
    <t>Interface offloading tradeoffs.</t>
  </si>
  <si>
    <t>Design mediates offloading.</t>
  </si>
  <si>
    <t>A7-10</t>
  </si>
  <si>
    <t>Recent GenAI &amp; perceived self-regulated learning (empirical)</t>
  </si>
  <si>
    <t>https://www.nature.com/articles/s41599-026-07924-3.pdf</t>
  </si>
  <si>
    <t>https://arxiv.org/pdf/2606.08568</t>
  </si>
  <si>
    <t>Open article PDF / arXiv preprint</t>
  </si>
  <si>
    <t>Recent 2026 GenAI/SRL sources located; fast-moving row should be re-searched frequently.</t>
  </si>
  <si>
    <t>Recent GenAI &amp; perceived self-regulated learning (empirical) pdf DOI readable source</t>
  </si>
  <si>
    <t>https://www.google.com/search?q=Recent+GenAI+%26+perceived+self-regulated+learning+%28empirical%29+pdf+DOI+readable+source</t>
  </si>
  <si>
    <t>EMPIRICAL/WARNING</t>
  </si>
  <si>
    <t>education/AI</t>
  </si>
  <si>
    <t>contested</t>
  </si>
  <si>
    <t>GenAI tool use associated with shifts in self-regulated learning.</t>
  </si>
  <si>
    <t>Fast-moving; re-search each cycle.</t>
  </si>
  <si>
    <t>Watch for dependency signals.</t>
  </si>
  <si>
    <t>A8-01</t>
  </si>
  <si>
    <t>Hobson, Schroeder, Risen, Xygalatas &amp; Inzlicht — Psychology of Rituals</t>
  </si>
  <si>
    <t>https://escholarship.org/uc/item/88p7357w</t>
  </si>
  <si>
    <t>https://doi.org/10.1177/1088868317734944</t>
  </si>
  <si>
    <t>UC eScholarship and DOI landing located.</t>
  </si>
  <si>
    <t>Hobson, Schroeder, Risen, Xygalatas &amp; Inzlicht — Psychology of Rituals pdf DOI readable source</t>
  </si>
  <si>
    <t>https://www.google.com/search?q=Hobson%2C+Schroeder%2C+Risen%2C+Xygalatas+%26+Inzlicht+%E2%80%94+Psychology+of+Rituals+pdf+DOI+readable+source</t>
  </si>
  <si>
    <t>REVIEW/MECHANISM/DESIGN</t>
  </si>
  <si>
    <t>Rituals regulate emotion, performance goal-states, and social connection.</t>
  </si>
  <si>
    <t>Build transition/closure/entry rituals.</t>
  </si>
  <si>
    <t>Ritual as regulatory structure.</t>
  </si>
  <si>
    <t>A8-02</t>
  </si>
  <si>
    <t>Norton &amp; Gino — Rituals Alleviate Grieving</t>
  </si>
  <si>
    <t>https://www.hbs.edu/ris/Publication%20Files/norton%20gino%202014_e44eb177-f8f4-4f0d-a458-625c1268b391.pdf</t>
  </si>
  <si>
    <t>https://doi.org/10.1037/a0031772</t>
  </si>
  <si>
    <t>Open HBS PDF located.</t>
  </si>
  <si>
    <t>Norton &amp; Gino — Rituals Alleviate Grieving pdf DOI readable source</t>
  </si>
  <si>
    <t>https://www.google.com/search?q=Norton+%26+Gino+%E2%80%94+Rituals+Alleviate+Grieving+pdf+DOI+readable+source</t>
  </si>
  <si>
    <t>EMPIRICAL/MECHANISM</t>
  </si>
  <si>
    <t>Rituals reduce grief via increased sense of control, even without belief.</t>
  </si>
  <si>
    <t>Ritual for loss/interruption/closure/return.</t>
  </si>
  <si>
    <t>Control through symbolic action.</t>
  </si>
  <si>
    <t>A8-03</t>
  </si>
  <si>
    <t>Van Gennep — The Rites of Passage</t>
  </si>
  <si>
    <t>https://archive.org/details/ritesofpassage00genn</t>
  </si>
  <si>
    <t>https://press.uchicago.edu/ucp/books/book/chicago/R/bo5965597.html</t>
  </si>
  <si>
    <t>Van Gennep — The Rites of Passage pdf DOI readable source</t>
  </si>
  <si>
    <t>https://www.google.com/search?q=Van+Gennep+%E2%80%94+The+Rites+of+Passage+pdf+DOI+readable+source</t>
  </si>
  <si>
    <t>TELOS/STRUCTURE</t>
  </si>
  <si>
    <t>Separation, liminality, incorporation structure.</t>
  </si>
  <si>
    <t>Task-switching vestibules; transition design.</t>
  </si>
  <si>
    <t>Thresholds structure change.</t>
  </si>
  <si>
    <t>A8-04</t>
  </si>
  <si>
    <t>Turner — The Ritual Process</t>
  </si>
  <si>
    <t>https://monoskop.org/images/9/90/Turner_Victor_The_Ritual_Process_Structure_and_Anti-Structure.pdf</t>
  </si>
  <si>
    <t>https://archive.org/details/ritualprocess0000unse</t>
  </si>
  <si>
    <t>Readable PDF and archive landing located.</t>
  </si>
  <si>
    <t>Turner — The Ritual Process pdf DOI readable source</t>
  </si>
  <si>
    <t>https://www.google.com/search?q=Turner+%E2%80%94+The+Ritual+Process+pdf+DOI+readable+source</t>
  </si>
  <si>
    <t>Liminality and communitas.</t>
  </si>
  <si>
    <t>Transition states and thresholds.</t>
  </si>
  <si>
    <t>Liminal design.</t>
  </si>
  <si>
    <t>A8-05</t>
  </si>
  <si>
    <t>Bell — Ritual Theory, Ritual Practice</t>
  </si>
  <si>
    <t>https://web.vu.lt/rstc/a.pazeraite/files/2014/09/Catherine-Bell-Ritual-Theory-Ritual-Practice-Oxford-University-Press-USA-2009.pdf</t>
  </si>
  <si>
    <t>https://archive.org/details/ritualtheoryritu0000bell</t>
  </si>
  <si>
    <t>Readable PDF and archive lending page located.</t>
  </si>
  <si>
    <t>Bell — Ritual Theory, Ritual Practice pdf DOI readable source</t>
  </si>
  <si>
    <t>https://www.google.com/search?q=Bell+%E2%80%94+Ritual+Theory%2C+Ritual+Practice+pdf+DOI+readable+source</t>
  </si>
  <si>
    <t>CRITIQUE/TELOS</t>
  </si>
  <si>
    <t>religious studies</t>
  </si>
  <si>
    <t>Ritualization as a strategic way of acting.</t>
  </si>
  <si>
    <t>Avoid naive ritual design.</t>
  </si>
  <si>
    <t>Ritual is strategic, not decorative.</t>
  </si>
  <si>
    <t>A8-06</t>
  </si>
  <si>
    <t>Xygalatas — Ritual (2022)</t>
  </si>
  <si>
    <t>https://www.xygalatas.com/copy-of-books</t>
  </si>
  <si>
    <t>https://www.littlebrown.com/titles/dimitris-xygalatas/ritual/9780316462403/</t>
  </si>
  <si>
    <t>Author / publisher landing</t>
  </si>
  <si>
    <t>Author and publisher landing located; full text requires legal purchase/library access.</t>
  </si>
  <si>
    <t>Xygalatas — Ritual (2022) pdf DOI readable source</t>
  </si>
  <si>
    <t>https://www.google.com/search?q=Xygalatas+%E2%80%94+Ritual+%282022%29+pdf+DOI+readable+source</t>
  </si>
  <si>
    <t>REVIEW/TRANSLATION</t>
  </si>
  <si>
    <t>anthropology/psych</t>
  </si>
  <si>
    <t>Bridges anthropology, psychology, and ritual function.</t>
  </si>
  <si>
    <t>Symbolic-technical practice design.</t>
  </si>
  <si>
    <t>Why 'senseless' acts matter.</t>
  </si>
  <si>
    <t>A8-07</t>
  </si>
  <si>
    <t>Tian et al. — Enacting Rituals to Improve Self-Control</t>
  </si>
  <si>
    <t>https://www.hbs.edu/ris/download.aspx?name=Enacting%20Rituals%20to%20Improve%20Self-Control.pdf</t>
  </si>
  <si>
    <t>https://doi.org/10.1037/pspa0000113</t>
  </si>
  <si>
    <t>HBS-hosted PDF and DOI located.</t>
  </si>
  <si>
    <t>Tian et al. — Enacting Rituals to Improve Self-Control pdf DOI readable source</t>
  </si>
  <si>
    <t>https://www.google.com/search?q=Tian+et+al.+%E2%80%94+Enacting+Rituals+to+Improve+Self-Control+pdf+DOI+readable+source</t>
  </si>
  <si>
    <t>consumer psych</t>
  </si>
  <si>
    <t>Ritual enactment can improve self-control.</t>
  </si>
  <si>
    <t>Ritual as self-regulatory structure.</t>
  </si>
  <si>
    <t>Structure aids restraint.</t>
  </si>
  <si>
    <t>A8-08</t>
  </si>
  <si>
    <t>McCauley &amp; Lawson — Bringing Ritual to Mind</t>
  </si>
  <si>
    <t>https://archive.org/details/bringingritualto0000mcca</t>
  </si>
  <si>
    <t>https://www.cambridge.org/core/books/bringing-ritual-to-mind/543934EB852330BA698125F66483B72E</t>
  </si>
  <si>
    <t>Archive lending and Cambridge Core landing located.</t>
  </si>
  <si>
    <t>McCauley &amp; Lawson — Bringing Ritual to Mind pdf DOI readable source</t>
  </si>
  <si>
    <t>https://www.google.com/search?q=McCauley+%26+Lawson+%E2%80%94+Bringing+Ritual+to+Mind+pdf+DOI+readable+source</t>
  </si>
  <si>
    <t>COGSCI/TELOS</t>
  </si>
  <si>
    <t>cognitive science of religion</t>
  </si>
  <si>
    <t>Ritual form, memory, and cultural transmission.</t>
  </si>
  <si>
    <t>Ritual form and memory.</t>
  </si>
  <si>
    <t>Form shapes transmission.</t>
  </si>
  <si>
    <t>A8-09</t>
  </si>
  <si>
    <t>Durkheim — The Elementary Forms of Religious Life</t>
  </si>
  <si>
    <t>https://www.gutenberg.org/ebooks/41360</t>
  </si>
  <si>
    <t>https://archive.org/details/elementaryformso00durk</t>
  </si>
  <si>
    <t>Public domain ebook / archive scan</t>
  </si>
  <si>
    <t>Project Gutenberg and Internet Archive public-domain access located.</t>
  </si>
  <si>
    <t>Durkheim — The Elementary Forms of Religious Life pdf DOI readable source</t>
  </si>
  <si>
    <t>https://www.google.com/search?q=Durkheim+%E2%80%94+The+Elementary+Forms+of+Religious+Life+pdf+DOI+readable+source</t>
  </si>
  <si>
    <t>SOCIAL THEORY</t>
  </si>
  <si>
    <t>Collective ritual sustains social order.</t>
  </si>
  <si>
    <t>Social dimension of ritual.</t>
  </si>
  <si>
    <t>Ritual binds groups.</t>
  </si>
  <si>
    <t>A8-10</t>
  </si>
  <si>
    <t>Whitehouse — Modes of Religiosity</t>
  </si>
  <si>
    <t>https://archive.org/details/modesofreligiosi0000whit</t>
  </si>
  <si>
    <t>https://www.harveywhitehouse.com/books/modes-of-religiosity-a-cognitive-theory-of-religious-transmission</t>
  </si>
  <si>
    <t>Archive lending / author book landing</t>
  </si>
  <si>
    <t>Archive lending and author landing located.</t>
  </si>
  <si>
    <t>Whitehouse — Modes of Religiosity pdf DOI readable source</t>
  </si>
  <si>
    <t>https://www.google.com/search?q=Whitehouse+%E2%80%94+Modes+of+Religiosity+pdf+DOI+readable+source</t>
  </si>
  <si>
    <t>ANTHRO/COGNITION</t>
  </si>
  <si>
    <t>Ritual intensity linked to memory and cohesion.</t>
  </si>
  <si>
    <t>Intensity vs routinization tradeoffs.</t>
  </si>
  <si>
    <t>Ritual mode shapes effect.</t>
  </si>
  <si>
    <t>A9-01</t>
  </si>
  <si>
    <t>Mark, Gudith &amp; Klocke — The Cost of Interrupted Work</t>
  </si>
  <si>
    <t>https://ics.uci.edu/~gmark/chi08-mark.pdf</t>
  </si>
  <si>
    <t>https://doi.org/10.1145/1357054.1357072</t>
  </si>
  <si>
    <t>Open author PDF located.</t>
  </si>
  <si>
    <t>Mark, Gudith &amp; Klocke — The Cost of Interrupted Work pdf DOI readable source</t>
  </si>
  <si>
    <t>https://www.google.com/search?q=Mark%2C+Gudith+%26+Klocke+%E2%80%94+The+Cost+of+Interrupted+Work+pdf+DOI+readable+source</t>
  </si>
  <si>
    <t>HCI/work</t>
  </si>
  <si>
    <t>Interrupted work is finished faster but with more stress, effort, and pressure.</t>
  </si>
  <si>
    <t>Interruption burden and recovery protocol.</t>
  </si>
  <si>
    <t>Speed can cost wellbeing.</t>
  </si>
  <si>
    <t>A9-02</t>
  </si>
  <si>
    <t>Gonzalez &amp; Mark — Multi-tasking Craziness (working spheres)</t>
  </si>
  <si>
    <t>https://ics.uci.edu/~gmark/CHI2004.pdf</t>
  </si>
  <si>
    <t>https://doi.org/10.1145/985692.985707</t>
  </si>
  <si>
    <t>Gonzalez &amp; Mark — Multi-tasking Craziness (working spheres) pdf DOI readable source</t>
  </si>
  <si>
    <t>https://www.google.com/search?q=Gonzalez+%26+Mark+%E2%80%94+Multi-tasking+Craziness+%28working+spheres%29+pdf+DOI+readable+source</t>
  </si>
  <si>
    <t>Knowledge work is fragmented across many working spheres.</t>
  </si>
  <si>
    <t>Work-sphere tracking and return cues.</t>
  </si>
  <si>
    <t>Fragmentation is structural.</t>
  </si>
  <si>
    <t>A9-03</t>
  </si>
  <si>
    <t>Mark, Gonzalez &amp; Harris — No Task Left Behind?</t>
  </si>
  <si>
    <t>https://ics.uci.edu/~gmark/CHI2005.pdf</t>
  </si>
  <si>
    <t>https://doi.org/10.1145/1054972.1055017</t>
  </si>
  <si>
    <t>Mark, Gonzalez &amp; Harris — No Task Left Behind? pdf DOI readable source</t>
  </si>
  <si>
    <t>https://www.google.com/search?q=Mark%2C+Gonzalez+%26+Harris+%E2%80%94+No+Task+Left+Behind%3F+pdf+DOI+readable+source</t>
  </si>
  <si>
    <t>Field evidence on the nature of fragmented work.</t>
  </si>
  <si>
    <t>Realistic administrative workflow design.</t>
  </si>
  <si>
    <t>Fragmentation patterns.</t>
  </si>
  <si>
    <t>A9-04</t>
  </si>
  <si>
    <t>Leroy — Attention Residue</t>
  </si>
  <si>
    <t>https://www.uwb.edu/business/faculty/sophie-leroy/attention-residue</t>
  </si>
  <si>
    <t>https://doi.org/10.1016/j.obhdp.2009.04.002</t>
  </si>
  <si>
    <t>Author topic page / DOI landing</t>
  </si>
  <si>
    <t>Author attention-residue page and DOI landing located; article full text may require access.</t>
  </si>
  <si>
    <t>Leroy — Attention Residue pdf DOI readable source</t>
  </si>
  <si>
    <t>https://www.google.com/search?q=Leroy+%E2%80%94+Attention+Residue+pdf+DOI+readable+source</t>
  </si>
  <si>
    <t>org behavior</t>
  </si>
  <si>
    <t>Residual attention persists after switching tasks, harming performance.</t>
  </si>
  <si>
    <t>Design closure and switching vestibules.</t>
  </si>
  <si>
    <t>Residue is a design constraint.</t>
  </si>
  <si>
    <t>A9-05</t>
  </si>
  <si>
    <t>Arnold, Goldschmitt &amp; Rigotti — Information Overload (review)</t>
  </si>
  <si>
    <t>https://pmc.ncbi.nlm.nih.gov/articles/PMC10322198/</t>
  </si>
  <si>
    <t>https://doi.org/10.3389/fpsyg.2023.1122200</t>
  </si>
  <si>
    <t>Open PMC/Frontiers full text located.</t>
  </si>
  <si>
    <t>Arnold, Goldschmitt &amp; Rigotti — Information Overload (review) pdf DOI readable source</t>
  </si>
  <si>
    <t>https://www.google.com/search?q=Arnold%2C+Goldschmitt+%26+Rigotti+%E2%80%94+Information+Overload+%28review%29+pdf+DOI+readable+source</t>
  </si>
  <si>
    <t>Overload prevention/intervention at behavioral, ICT, team, org levels.</t>
  </si>
  <si>
    <t>Don't treat overload as individual failing only.</t>
  </si>
  <si>
    <t>Overload is multi-level.</t>
  </si>
  <si>
    <t>A9-06</t>
  </si>
  <si>
    <t>Rick et al. — Work Interruptions of Office Workers</t>
  </si>
  <si>
    <t>https://publications.rwth-aachen.de/record/962254/files/962254.pdf</t>
  </si>
  <si>
    <t>https://doi.org/10.3233/WOR-220684</t>
  </si>
  <si>
    <t>Open RWTH PDF located.</t>
  </si>
  <si>
    <t>Rick et al. — Work Interruptions of Office Workers pdf DOI readable source</t>
  </si>
  <si>
    <t>https://www.google.com/search?q=Rick+et+al.+%E2%80%94+Work+Interruptions+of+Office+Workers+pdf+DOI+readable+source</t>
  </si>
  <si>
    <t>EMPIRICAL/MEASURE</t>
  </si>
  <si>
    <t>occupational</t>
  </si>
  <si>
    <t>Links interruption frequency, workload, overload, and task complexity.</t>
  </si>
  <si>
    <t>Triage task complexity before interruption-heavy modes.</t>
  </si>
  <si>
    <t>Complexity moderates interruption cost.</t>
  </si>
  <si>
    <t>A9-07</t>
  </si>
  <si>
    <t>Iqbal &amp; Horvitz — Disruption and Recovery of Computing Tasks</t>
  </si>
  <si>
    <t>http://erichorvitz.com/CHI_2007_Iqbal_Horvitz.pdf</t>
  </si>
  <si>
    <t>https://www.microsoft.com/en-us/research/publication/disruption-recovery-computing-tasks-field-study-analysis-directions/</t>
  </si>
  <si>
    <t>Open PDF / Microsoft Research landing</t>
  </si>
  <si>
    <t>Author PDF and Microsoft Research source page located.</t>
  </si>
  <si>
    <t>Iqbal &amp; Horvitz — Disruption and Recovery of Computing Tasks pdf DOI readable source</t>
  </si>
  <si>
    <t>https://www.google.com/search?q=Iqbal+%26+Horvitz+%E2%80%94+Disruption+and+Recovery+of+Computing+Tasks+pdf+DOI+readable+source</t>
  </si>
  <si>
    <t>Interruption timing and recovery in computing tasks.</t>
  </si>
  <si>
    <t>Recovery-aware task resumption.</t>
  </si>
  <si>
    <t>Timing shapes recovery.</t>
  </si>
  <si>
    <t>A9-08</t>
  </si>
  <si>
    <t>Bailey &amp; Konstan — On the Need for Attention-Aware Systems</t>
  </si>
  <si>
    <t>https://www.interruptions.net/literature/Bailey-CHB06_1.pdf</t>
  </si>
  <si>
    <t>https://doi.org/10.1016/j.chb.2005.12.009</t>
  </si>
  <si>
    <t>Bailey &amp; Konstan — On the Need for Attention-Aware Systems pdf DOI readable source</t>
  </si>
  <si>
    <t>https://www.google.com/search?q=Bailey+%26+Konstan+%E2%80%94+On+the+Need+for+Attention-Aware+Systems+pdf+DOI+readable+source</t>
  </si>
  <si>
    <t>DESIGN/WARNING</t>
  </si>
  <si>
    <t>Interrupting at poor moments increases cost.</t>
  </si>
  <si>
    <t>Time interruptions intelligently.</t>
  </si>
  <si>
    <t>Bad timing is costly.</t>
  </si>
  <si>
    <t>A9-09</t>
  </si>
  <si>
    <t>Microsoft Work Trend Index (reports)</t>
  </si>
  <si>
    <t>https://www.microsoft.com/en-us/worklab/work-trend-index/agents-human-agency-and-the-opportunity-for-every-organization</t>
  </si>
  <si>
    <t>https://www.microsoft.com/en-us/worklab/work-trend-index</t>
  </si>
  <si>
    <t>Official report page</t>
  </si>
  <si>
    <t>Latest Microsoft Work Trend Index report page located; staleness should be annual/quarterly.</t>
  </si>
  <si>
    <t>Microsoft Work Trend Index (reports) pdf DOI readable source</t>
  </si>
  <si>
    <t>https://www.google.com/search?q=Microsoft+Work+Trend+Index+%28reports%29+pdf+DOI+readable+source</t>
  </si>
  <si>
    <t>CONTEXT</t>
  </si>
  <si>
    <t>industry</t>
  </si>
  <si>
    <t>Current workplace trend data (AI at work, infinite workday).</t>
  </si>
  <si>
    <t>Current workplace context.</t>
  </si>
  <si>
    <t>Situate admin/client-service reality.</t>
  </si>
  <si>
    <t>A9-10</t>
  </si>
  <si>
    <t>Newport — Deep Work</t>
  </si>
  <si>
    <t>https://archive.org/details/deepworkrulesfor0000newp</t>
  </si>
  <si>
    <t>https://www.hachettebookgroup.com/titles/cal-newport/deep-work/9781455586677/</t>
  </si>
  <si>
    <t>Archive lending and publisher landing located.</t>
  </si>
  <si>
    <t>Newport — Deep Work pdf DOI readable source</t>
  </si>
  <si>
    <t>https://www.google.com/search?q=Newport+%E2%80%94+Deep+Work+pdf+DOI+readable+source</t>
  </si>
  <si>
    <t>POPULAR/DESIGN</t>
  </si>
  <si>
    <t>popular</t>
  </si>
  <si>
    <t>productivity</t>
  </si>
  <si>
    <t>Focus blocks; down-weighted vs empirical work.</t>
  </si>
  <si>
    <t>Translate focus blocks cautiously.</t>
  </si>
  <si>
    <t>Not a fantasy of no interruptions.</t>
  </si>
  <si>
    <t>A9-11</t>
  </si>
  <si>
    <t>Allen — Getting Things Done</t>
  </si>
  <si>
    <t>https://archive.org/details/gettingthingsdon0000alle_g8s9</t>
  </si>
  <si>
    <t>https://gettingthingsdone.com/</t>
  </si>
  <si>
    <t>Archive lending / official GTD site</t>
  </si>
  <si>
    <t>Archive lending and official GTD site located.</t>
  </si>
  <si>
    <t>Allen — Getting Things Done pdf DOI readable source</t>
  </si>
  <si>
    <t>https://www.google.com/search?q=Allen+%E2%80%94+Getting+Things+Done+pdf+DOI+readable+source</t>
  </si>
  <si>
    <t>PRACTICE/DESIGN</t>
  </si>
  <si>
    <t>practice</t>
  </si>
  <si>
    <t>Capture/clarify/organize/review workflow.</t>
  </si>
  <si>
    <t>Admin task externalization workflow.</t>
  </si>
  <si>
    <t>Externalize to free attention.</t>
  </si>
  <si>
    <t>A10-01</t>
  </si>
  <si>
    <t>Chirkov, Ryan, Kim &amp; Kaplan — Autonomy vs Individualism</t>
  </si>
  <si>
    <t>https://selfdeterminationtheory.org/SDT/documents/2003_ChirkovRyanKimKaplan.pdf</t>
  </si>
  <si>
    <t>https://doi.org/10.1037/0022-3514.84.1.97</t>
  </si>
  <si>
    <t>Open SDT PDF located.</t>
  </si>
  <si>
    <t>Chirkov, Ryan, Kim &amp; Kaplan — Autonomy vs Individualism pdf DOI readable source</t>
  </si>
  <si>
    <t>https://www.google.com/search?q=Chirkov%2C+Ryan%2C+Kim+%26+Kaplan+%E2%80%94+Autonomy+vs+Individualism+pdf+DOI+readable+source</t>
  </si>
  <si>
    <t>CROSS-CULTURAL/CLARIFICATION</t>
  </si>
  <si>
    <t>cross-cultural psych</t>
  </si>
  <si>
    <t>Autonomy-as-volition is distinct from individualism/independence.</t>
  </si>
  <si>
    <t>Prevent cultural misreadings of autonomy.</t>
  </si>
  <si>
    <t>Autonomy is volition, not independence.</t>
  </si>
  <si>
    <t>A10-02</t>
  </si>
  <si>
    <t>Nalipay, King &amp; Cai — Autonomy Across East and West</t>
  </si>
  <si>
    <t>https://selfdeterminationtheory.org/wp-content/uploads/2020/02/2020_NalipayaKingbCai_UniversalityofSDT.pdf</t>
  </si>
  <si>
    <t>https://doi.org/10.1016/j.adolescence.2019.12.009</t>
  </si>
  <si>
    <t>Nalipay, King &amp; Cai — Autonomy Across East and West pdf DOI readable source</t>
  </si>
  <si>
    <t>https://www.google.com/search?q=Nalipay%2C+King+%26+Cai+%E2%80%94+Autonomy+Across+East+and+West+pdf+DOI+readable+source</t>
  </si>
  <si>
    <t>EMPIRICAL/CROSS-CULTURAL</t>
  </si>
  <si>
    <t>Autonomy and relatedness matter across cultures (large PISA sample).</t>
  </si>
  <si>
    <t>Keep autonomy central without Western individualism.</t>
  </si>
  <si>
    <t>Autonomy has cross-cultural relevance.</t>
  </si>
  <si>
    <t>A10-03</t>
  </si>
  <si>
    <t>Beyers, Soenens &amp; Vansteenkiste — Autonomy in Adolescence</t>
  </si>
  <si>
    <t>https://selfdeterminationtheory.org/wp-content/uploads/2024/03/2024_BeyersSoenensVansteenkiste_EJODP.pdf</t>
  </si>
  <si>
    <t>https://doi.org/10.1080/17405629.2024.2330734</t>
  </si>
  <si>
    <t>Beyers, Soenens &amp; Vansteenkiste — Autonomy in Adolescence pdf DOI readable source</t>
  </si>
  <si>
    <t>https://www.google.com/search?q=Beyers%2C+Soenens+%26+Vansteenkiste+%E2%80%94+Autonomy+in+Adolescence+pdf+DOI+readable+source</t>
  </si>
  <si>
    <t>REVIEW/CLARIFICATION</t>
  </si>
  <si>
    <t>developmental psych</t>
  </si>
  <si>
    <t>Distinguishes autonomy-as-independence from autonomy-as-volition.</t>
  </si>
  <si>
    <t>Define autonomy precisely.</t>
  </si>
  <si>
    <t>Volitional functioning.</t>
  </si>
  <si>
    <t>A10-04</t>
  </si>
  <si>
    <t>Markus &amp; Kitayama — Culture and the Self</t>
  </si>
  <si>
    <t>https://web.mit.edu/curhan/www/docs/Articles/15341_Readings/Influence_Compliance/Markus_Kitayama_1991_Culture_and_the_self.pdf</t>
  </si>
  <si>
    <t>https://doi.org/10.1037/0033-295X.98.2.224</t>
  </si>
  <si>
    <t>Open MIT-hosted PDF located.</t>
  </si>
  <si>
    <t>Markus &amp; Kitayama — Culture and the Self pdf DOI readable source</t>
  </si>
  <si>
    <t>https://www.google.com/search?q=Markus+%26+Kitayama+%E2%80%94+Culture+and+the+Self+pdf+DOI+readable+source</t>
  </si>
  <si>
    <t>CROSS-CULTURAL</t>
  </si>
  <si>
    <t>cultural psych</t>
  </si>
  <si>
    <t>Independent vs interdependent self-construal.</t>
  </si>
  <si>
    <t>Social embeddedness of motivation/identity.</t>
  </si>
  <si>
    <t>Self is culturally shaped.</t>
  </si>
  <si>
    <t>A10-05</t>
  </si>
  <si>
    <t>Henrich, Heine &amp; Norenzayan — The Weirdest People in the World?</t>
  </si>
  <si>
    <t>https://www2.psych.ubc.ca/~henrich/pdfs/WeirdPeople.pdf</t>
  </si>
  <si>
    <t>https://doi.org/10.1017/S0140525X0999152X</t>
  </si>
  <si>
    <t>UBC-hosted PDF and DOI located.</t>
  </si>
  <si>
    <t>Henrich, Heine &amp; Norenzayan — The Weirdest People in the World? pdf DOI readable source</t>
  </si>
  <si>
    <t>https://www.google.com/search?q=Henrich%2C+Heine+%26+Norenzayan+%E2%80%94+The+Weirdest+People+in+the+World%3F+pdf+DOI+readable+source</t>
  </si>
  <si>
    <t>WARNING/METHOD</t>
  </si>
  <si>
    <t>Western samples do not straightforwardly generalize.</t>
  </si>
  <si>
    <t>Caution against WEIRD over-generalization.</t>
  </si>
  <si>
    <t>Sample bias warning.</t>
  </si>
  <si>
    <t>Findings &amp; Fault Lines Memo</t>
  </si>
  <si>
    <t>A10-06</t>
  </si>
  <si>
    <t>Schweder — Thinking Through Cultures</t>
  </si>
  <si>
    <t>https://archive.org/details/thinkingthroughc0000unse</t>
  </si>
  <si>
    <t>https://www.hup.harvard.edu/books/9780674884168</t>
  </si>
  <si>
    <t>Archive lending and Harvard University Press landing located.</t>
  </si>
  <si>
    <t>Schweder — Thinking Through Cultures pdf DOI readable source</t>
  </si>
  <si>
    <t>https://www.google.com/search?q=Schweder+%E2%80%94+Thinking+Through+Cultures+pdf+DOI+readable+source</t>
  </si>
  <si>
    <t>CROSS-CULTURAL/TELOS</t>
  </si>
  <si>
    <t>Plural moral worlds.</t>
  </si>
  <si>
    <t>Support moral plurality.</t>
  </si>
  <si>
    <t>Many moral orders.</t>
  </si>
  <si>
    <t>A10-07</t>
  </si>
  <si>
    <t>Nisbett — The Geography of Thought</t>
  </si>
  <si>
    <t>https://archive.org/details/geographyofthoug00nisb</t>
  </si>
  <si>
    <t>https://openlibrary.org/books/OL7927071M/The_Geography_of_Thought</t>
  </si>
  <si>
    <t>Archive lending and Open Library path located.</t>
  </si>
  <si>
    <t>Nisbett — The Geography of Thought pdf DOI readable source</t>
  </si>
  <si>
    <t>https://www.google.com/search?q=Nisbett+%E2%80%94+The+Geography+of+Thought+pdf+DOI+readable+source</t>
  </si>
  <si>
    <t>CROSS-CULTURAL/COGNITION</t>
  </si>
  <si>
    <t>Cognitive style differences across cultures.</t>
  </si>
  <si>
    <t>Cognitive-style variation.</t>
  </si>
  <si>
    <t>Thought is culturally patterned.</t>
  </si>
  <si>
    <t>A10-08</t>
  </si>
  <si>
    <t>Technodiversity project / ITS Rio (white paper &amp; library)</t>
  </si>
  <si>
    <t>https://itsrio.org/wp-content/uploads/2016/12/WhitePaper-Technodiversity.pdf</t>
  </si>
  <si>
    <t>https://www.technodiversity.org/white-paper</t>
  </si>
  <si>
    <t>Open white paper PDF / project landing</t>
  </si>
  <si>
    <t>ITS Rio/Technodiversity white paper and project landing located.</t>
  </si>
  <si>
    <t>Technodiversity project / ITS Rio (white paper &amp; library) pdf DOI readable source</t>
  </si>
  <si>
    <t>https://www.google.com/search?q=Technodiversity+project+%2F+ITS+Rio+%28white+paper+%26+library%29+pdf+DOI+readable+source</t>
  </si>
  <si>
    <t>policy/tech</t>
  </si>
  <si>
    <t>Contemporary applied technodiversity framing.</t>
  </si>
  <si>
    <t>Applied technodiversity at scale.</t>
  </si>
  <si>
    <t>Plurality of technical forms.</t>
  </si>
  <si>
    <t>HUI-2024</t>
  </si>
  <si>
    <t>Hui — Machine and Sovereignty: For a Planetary Thinking</t>
  </si>
  <si>
    <t>https://philpapers.org/archive/HUIMAS.pdf</t>
  </si>
  <si>
    <t>https://manifold.umn.edu/projects/machine-and-sovereignty</t>
  </si>
  <si>
    <t>Open access PDF and online book</t>
  </si>
  <si>
    <t>Companion source found - not a matrix row unless added</t>
  </si>
  <si>
    <t>This is a governing source in the design memo and handoff, not currently a distinct matrix row unless added as a core/source row.</t>
  </si>
  <si>
    <t>Hui — Machine and Sovereignty: For a Planetary Thinking pdf DOI readable source</t>
  </si>
  <si>
    <t>https://www.google.com/search?q=Hui+%E2%80%94+Machine+and+Sovereignty%3A+For+a+Planetary+Thinking+pdf+DOI+readable+source</t>
  </si>
  <si>
    <t>philosophy of technology</t>
  </si>
  <si>
    <t>Open-access primary Hui text grounding Monstare v6 cosmotechnic design memo.</t>
  </si>
  <si>
    <t>Govern cosmotechnic criteria: technodiversity, organology/proportion, prosthesis vs replacement, locality/localism.</t>
  </si>
  <si>
    <t>Primary v6 cosmotechnic scaffold and anti-veneer standard.</t>
  </si>
  <si>
    <t>Cosmotechnic Audit Card / Design Memo v6</t>
  </si>
  <si>
    <t>Patch Date</t>
  </si>
  <si>
    <t>Patch Type</t>
  </si>
  <si>
    <t>Rows Updated</t>
  </si>
  <si>
    <t>Columns Added</t>
  </si>
  <si>
    <t>Rows Removed</t>
  </si>
  <si>
    <t>Existing Source Cells Removed</t>
  </si>
  <si>
    <t>Notes</t>
  </si>
  <si>
    <t>Additive patch</t>
  </si>
  <si>
    <t>Staleness Domain, Re-search Interval, Last Verified Date, Re-search By, Staleness Status</t>
  </si>
  <si>
    <t>Patched staleness columns at workbook end and completed source-location pass for all previously queued/missing rows. Existing source links were preserved; only queued rows were filled.</t>
  </si>
  <si>
    <t>Source rows completed</t>
  </si>
  <si>
    <t>A1-15, A1-16, A1-17, A1-18, A1-19, A3-07, A3-08, A3-09, A3-10, A4-07, A4-08, A4-09, A4-10, A5-07, A5-08, A5-09, A5-10, A6-07, A6-08, A6-09, A6-10, A7-07, A7-08, A7-09, A7-10, A8-07, A8-08, A8-09, A8-10, A9-07, A9-08, A9-09, A9-10, A9-11, A10-05, A10-06, A10-07, A10-08</t>
  </si>
  <si>
    <t>Rows were source-located, not evidentially charted. Citation is still not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</si>
</sst>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35306B"/>
      </patternFill>
    </fill>
    <fill>
      <patternFill patternType="solid">
        <fgColor rgb="FFD9EAD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0" fillId="5" borderId="0" xfId="0" applyFill="1"/>
    <xf numFmtId="0" fontId="0" fillId="5" borderId="0" xfId="0" applyFill="1" applyAlignment="1">
      <alignment vertical="top" wrapText="1"/>
    </xf>
    <xf numFmtId="0" fontId="4" fillId="0" borderId="0" xfId="0" applyFont="1"/>
    <xf numFmtId="0" fontId="0" fillId="0" borderId="0" xfId="0" applyAlignment="1">
      <alignment wrapText="1"/>
    </xf>
    <xf numFmtId="0" fontId="1" fillId="3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zoomScaleNormal="100" zoomScaleSheetLayoutView="100" workbookViewId="0"/>
  </sheetViews>
  <sheetFormatPr defaultRowHeight="15"/>
  <cols>
    <col min="1" max="1" width="28" customWidth="1"/>
    <col min="2" max="2" width="90" customWidth="1"/>
  </cols>
  <sheetData>
    <row r="1" spans="1:2">
      <c r="A1" s="5" t="s">
        <v>0</v>
      </c>
      <c r="B1" s="5"/>
    </row>
    <row r="2" spans="1:2">
      <c r="A2" s="2" t="s">
        <v>1</v>
      </c>
      <c r="B2" s="2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8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>
        <v>77</v>
      </c>
    </row>
    <row r="10" spans="1:2">
      <c r="A10" s="8" t="s">
        <v>14</v>
      </c>
      <c r="B10" s="9" t="s">
        <v>15</v>
      </c>
    </row>
    <row r="11" spans="1:2">
      <c r="A11" s="8" t="s">
        <v>16</v>
      </c>
      <c r="B11" s="9" t="s">
        <v>2</v>
      </c>
    </row>
    <row r="12" spans="1:2">
      <c r="A12" s="8" t="s">
        <v>17</v>
      </c>
      <c r="B12" s="9" t="s">
        <v>18</v>
      </c>
    </row>
    <row r="13" spans="1:2">
      <c r="A13" s="8" t="s">
        <v>19</v>
      </c>
      <c r="B13" s="9" t="s">
        <v>20</v>
      </c>
    </row>
    <row r="14" spans="1:2">
      <c r="A14" s="8" t="s">
        <v>11</v>
      </c>
      <c r="B14" s="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showGridLines="0" workbookViewId="0"/>
  </sheetViews>
  <sheetFormatPr defaultRowHeight="15"/>
  <cols>
    <col min="1" max="1" width="40.7109375" customWidth="1"/>
    <col min="2" max="8" width="22.7109375" customWidth="1"/>
  </cols>
  <sheetData>
    <row r="1" spans="1:1">
      <c r="A1" s="1" t="s">
        <v>22</v>
      </c>
    </row>
    <row r="2" spans="1:1">
      <c r="A2" s="2" t="s">
        <v>23</v>
      </c>
    </row>
    <row r="4" spans="1:1">
      <c r="A4" s="2" t="s">
        <v>24</v>
      </c>
    </row>
    <row r="5" spans="1:1">
      <c r="A5" s="2" t="s">
        <v>25</v>
      </c>
    </row>
    <row r="6" spans="1:1">
      <c r="A6" s="2" t="s">
        <v>26</v>
      </c>
    </row>
    <row r="7" spans="1:1">
      <c r="A7" s="2" t="s">
        <v>27</v>
      </c>
    </row>
    <row r="8" spans="1:1">
      <c r="A8" s="2" t="s">
        <v>28</v>
      </c>
    </row>
    <row r="10" spans="1:1">
      <c r="A10" s="2" t="s">
        <v>29</v>
      </c>
    </row>
    <row r="11" spans="1:1">
      <c r="A11" s="2" t="s">
        <v>30</v>
      </c>
    </row>
    <row r="12" spans="1:1">
      <c r="A12" s="2" t="s">
        <v>31</v>
      </c>
    </row>
    <row r="13" spans="1:1">
      <c r="A13" s="2" t="s">
        <v>32</v>
      </c>
    </row>
    <row r="14" spans="1:1">
      <c r="A14" s="2" t="s">
        <v>33</v>
      </c>
    </row>
    <row r="15" spans="1:1">
      <c r="A15" s="2" t="s">
        <v>34</v>
      </c>
    </row>
    <row r="17" spans="1:2">
      <c r="A17" s="2" t="s">
        <v>35</v>
      </c>
    </row>
    <row r="18" spans="1:2">
      <c r="A18" s="2" t="s">
        <v>36</v>
      </c>
    </row>
    <row r="19" spans="1:2">
      <c r="A19" s="2" t="s">
        <v>37</v>
      </c>
    </row>
    <row r="20" spans="1:2">
      <c r="A20" s="2" t="s">
        <v>38</v>
      </c>
    </row>
    <row r="21" spans="1:2">
      <c r="A21" s="2" t="s">
        <v>39</v>
      </c>
    </row>
    <row r="22" spans="1:2">
      <c r="A22" s="2" t="s">
        <v>40</v>
      </c>
    </row>
    <row r="23" spans="1:2">
      <c r="A23" s="2" t="s">
        <v>41</v>
      </c>
    </row>
    <row r="24" spans="1:2">
      <c r="A24" s="2" t="s">
        <v>42</v>
      </c>
    </row>
    <row r="25" spans="1:2">
      <c r="A25" s="2" t="s">
        <v>43</v>
      </c>
    </row>
    <row r="26" spans="1:2">
      <c r="A26" s="2" t="s">
        <v>44</v>
      </c>
    </row>
    <row r="27" spans="1:2">
      <c r="A27" s="2" t="s">
        <v>45</v>
      </c>
    </row>
    <row r="29" spans="1:2">
      <c r="A29" s="2" t="s">
        <v>46</v>
      </c>
    </row>
    <row r="30" spans="1:2">
      <c r="A30" s="2" t="s">
        <v>47</v>
      </c>
      <c r="B30" s="2" t="s">
        <v>48</v>
      </c>
    </row>
    <row r="31" spans="1:2">
      <c r="A31" s="2" t="s">
        <v>49</v>
      </c>
      <c r="B31" s="2" t="s">
        <v>50</v>
      </c>
    </row>
    <row r="32" spans="1:2">
      <c r="A32" s="2" t="s">
        <v>51</v>
      </c>
      <c r="B32" s="2" t="s">
        <v>52</v>
      </c>
    </row>
    <row r="33" spans="1:2">
      <c r="A33" s="2" t="s">
        <v>53</v>
      </c>
      <c r="B33" s="2" t="s">
        <v>54</v>
      </c>
    </row>
    <row r="34" spans="1:2">
      <c r="A34" s="2" t="s">
        <v>55</v>
      </c>
      <c r="B34" s="2" t="s">
        <v>56</v>
      </c>
    </row>
    <row r="36" spans="1:2">
      <c r="A36" s="2" t="s">
        <v>57</v>
      </c>
    </row>
    <row r="37" spans="1:2">
      <c r="A37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/>
  </sheetViews>
  <sheetFormatPr defaultRowHeight="15"/>
  <cols>
    <col min="1" max="1" width="36.7109375" customWidth="1"/>
    <col min="2" max="2" width="100.7109375" customWidth="1"/>
  </cols>
  <sheetData>
    <row r="1" spans="1:2">
      <c r="A1" s="1" t="s">
        <v>59</v>
      </c>
      <c r="B1" s="1" t="s">
        <v>60</v>
      </c>
    </row>
    <row r="2" spans="1:2">
      <c r="A2" s="2" t="s">
        <v>61</v>
      </c>
      <c r="B2" s="2" t="s">
        <v>62</v>
      </c>
    </row>
    <row r="3" spans="1:2">
      <c r="A3" s="2" t="s">
        <v>63</v>
      </c>
      <c r="B3" s="2" t="s">
        <v>2</v>
      </c>
    </row>
    <row r="4" spans="1:2">
      <c r="A4" s="2" t="s">
        <v>64</v>
      </c>
      <c r="B4" s="2" t="s">
        <v>65</v>
      </c>
    </row>
    <row r="5" spans="1:2">
      <c r="A5" s="2" t="s">
        <v>66</v>
      </c>
      <c r="B5" s="2" t="s">
        <v>67</v>
      </c>
    </row>
    <row r="6" spans="1:2">
      <c r="A6" s="2" t="s">
        <v>68</v>
      </c>
      <c r="B6" s="2" t="s">
        <v>69</v>
      </c>
    </row>
    <row r="7" spans="1:2">
      <c r="A7" s="2" t="s">
        <v>70</v>
      </c>
      <c r="B7" s="2" t="s">
        <v>71</v>
      </c>
    </row>
    <row r="8" spans="1:2">
      <c r="A8" s="2" t="s">
        <v>72</v>
      </c>
      <c r="B8" s="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showGridLines="0" workbookViewId="0"/>
  </sheetViews>
  <sheetFormatPr defaultRowHeight="15"/>
  <cols>
    <col min="1" max="1" width="40.7109375" customWidth="1"/>
    <col min="2" max="8" width="22.7109375" customWidth="1"/>
  </cols>
  <sheetData>
    <row r="1" spans="1:8">
      <c r="A1" s="1" t="s">
        <v>74</v>
      </c>
    </row>
    <row r="2" spans="1:8">
      <c r="A2" s="2" t="s">
        <v>75</v>
      </c>
    </row>
    <row r="4" spans="1:8">
      <c r="A4" s="2" t="s">
        <v>76</v>
      </c>
      <c r="F4" s="2" t="s">
        <v>77</v>
      </c>
    </row>
    <row r="5" spans="1:8">
      <c r="A5" s="2" t="s">
        <v>78</v>
      </c>
      <c r="B5" s="2">
        <f>COUNTA('Evidence Matrix'!A2:A129)</f>
        <v>128</v>
      </c>
      <c r="F5" s="2" t="s">
        <v>79</v>
      </c>
      <c r="H5" s="2" t="s">
        <v>80</v>
      </c>
    </row>
    <row r="6" spans="1:8">
      <c r="A6" s="2" t="s">
        <v>81</v>
      </c>
      <c r="B6" s="2">
        <f>COUNTIF('Evidence Matrix'!F2:F129,"A")</f>
        <v>0</v>
      </c>
      <c r="F6" s="2" t="s">
        <v>82</v>
      </c>
      <c r="H6" s="2">
        <f>COUNTIF('Evidence Matrix'!K2:K129,"high")</f>
        <v>0</v>
      </c>
    </row>
    <row r="7" spans="1:8">
      <c r="A7" s="2" t="s">
        <v>83</v>
      </c>
      <c r="B7" s="2">
        <f>COUNTIF('Evidence Matrix'!F2:F129,"B")</f>
        <v>0</v>
      </c>
      <c r="F7" s="2" t="s">
        <v>84</v>
      </c>
      <c r="H7" s="2">
        <f>COUNTIF('Evidence Matrix'!K2:K129,"medium")</f>
        <v>0</v>
      </c>
    </row>
    <row r="8" spans="1:8">
      <c r="A8" s="2" t="s">
        <v>85</v>
      </c>
      <c r="B8" s="2">
        <f>COUNTIF('Evidence Matrix'!F2:F129,"C")</f>
        <v>0</v>
      </c>
      <c r="F8" s="2" t="s">
        <v>86</v>
      </c>
      <c r="H8" s="2">
        <f>COUNTIF('Evidence Matrix'!K2:K129,"low")</f>
        <v>0</v>
      </c>
    </row>
    <row r="9" spans="1:8">
      <c r="A9" s="2" t="s">
        <v>87</v>
      </c>
      <c r="B9" s="2">
        <f>COUNTIF('Evidence Matrix'!C2:C129,"Verified")</f>
        <v>0</v>
      </c>
    </row>
    <row r="10" spans="1:8">
      <c r="A10" s="2" t="s">
        <v>88</v>
      </c>
      <c r="B10" s="2">
        <f>COUNTIF('Evidence Matrix'!C2:C129,"Pending")</f>
        <v>0</v>
      </c>
    </row>
    <row r="11" spans="1:8">
      <c r="A11" s="2" t="s">
        <v>89</v>
      </c>
      <c r="B11" s="2">
        <f>IF(B5=0,0,B9/B5)</f>
        <v>0</v>
      </c>
    </row>
    <row r="13" spans="1:8">
      <c r="A13" s="2" t="s">
        <v>90</v>
      </c>
      <c r="F13" s="2" t="s">
        <v>91</v>
      </c>
    </row>
    <row r="14" spans="1:8">
      <c r="A14" s="2" t="s">
        <v>92</v>
      </c>
      <c r="B14" s="2" t="s">
        <v>93</v>
      </c>
      <c r="C14" s="2" t="s">
        <v>94</v>
      </c>
      <c r="D14" s="2" t="s">
        <v>95</v>
      </c>
      <c r="F14" s="2" t="s">
        <v>96</v>
      </c>
      <c r="G14" s="2" t="s">
        <v>97</v>
      </c>
      <c r="H14" s="2" t="s">
        <v>94</v>
      </c>
    </row>
    <row r="15" spans="1:8">
      <c r="A15" s="2">
        <v>1</v>
      </c>
      <c r="B15" s="2" t="s">
        <v>98</v>
      </c>
      <c r="C15" s="2">
        <f>COUNTIF('Evidence Matrix'!D2:D129,1)</f>
        <v>0</v>
      </c>
      <c r="D15" s="2">
        <f>COUNTIFS('Evidence Matrix'!D2:D129,1,'Evidence Matrix'!C2:C129,"Verified")</f>
        <v>0</v>
      </c>
      <c r="F15" s="2" t="s">
        <v>99</v>
      </c>
      <c r="G15" s="2" t="s">
        <v>100</v>
      </c>
      <c r="H15" s="2">
        <f>COUNTIF('Evidence Matrix'!E2:E129,"WS-A")</f>
        <v>0</v>
      </c>
    </row>
    <row r="16" spans="1:8">
      <c r="A16" s="2">
        <v>2</v>
      </c>
      <c r="B16" s="2" t="s">
        <v>101</v>
      </c>
      <c r="C16" s="2">
        <f>COUNTIF('Evidence Matrix'!D2:D129,2)</f>
        <v>0</v>
      </c>
      <c r="D16" s="2">
        <f>COUNTIFS('Evidence Matrix'!D2:D129,2,'Evidence Matrix'!C2:C129,"Verified")</f>
        <v>0</v>
      </c>
      <c r="F16" s="2" t="s">
        <v>102</v>
      </c>
      <c r="G16" s="2" t="s">
        <v>103</v>
      </c>
      <c r="H16" s="2">
        <f>COUNTIF('Evidence Matrix'!E2:E129,"WS-B")</f>
        <v>0</v>
      </c>
    </row>
    <row r="17" spans="1:8">
      <c r="A17" s="2">
        <v>3</v>
      </c>
      <c r="B17" s="2" t="s">
        <v>104</v>
      </c>
      <c r="C17" s="2">
        <f>COUNTIF('Evidence Matrix'!D2:D129,3)</f>
        <v>0</v>
      </c>
      <c r="D17" s="2">
        <f>COUNTIFS('Evidence Matrix'!D2:D129,3,'Evidence Matrix'!C2:C129,"Verified")</f>
        <v>0</v>
      </c>
      <c r="F17" s="2" t="s">
        <v>105</v>
      </c>
      <c r="G17" s="2" t="s">
        <v>106</v>
      </c>
      <c r="H17" s="2">
        <f>COUNTIF('Evidence Matrix'!E2:E129,"WS-C")</f>
        <v>0</v>
      </c>
    </row>
    <row r="18" spans="1:8">
      <c r="A18" s="2">
        <v>4</v>
      </c>
      <c r="B18" s="2" t="s">
        <v>107</v>
      </c>
      <c r="C18" s="2">
        <f>COUNTIF('Evidence Matrix'!D2:D129,4)</f>
        <v>0</v>
      </c>
      <c r="D18" s="2">
        <f>COUNTIFS('Evidence Matrix'!D2:D129,4,'Evidence Matrix'!C2:C129,"Verified")</f>
        <v>0</v>
      </c>
      <c r="F18" s="2" t="s">
        <v>108</v>
      </c>
      <c r="G18" s="2" t="s">
        <v>109</v>
      </c>
      <c r="H18" s="2">
        <f>COUNTIF('Evidence Matrix'!E2:E129,"WS-D")</f>
        <v>0</v>
      </c>
    </row>
    <row r="19" spans="1:8">
      <c r="A19" s="2">
        <v>5</v>
      </c>
      <c r="B19" s="2" t="s">
        <v>110</v>
      </c>
      <c r="C19" s="2">
        <f>COUNTIF('Evidence Matrix'!D2:D129,5)</f>
        <v>0</v>
      </c>
      <c r="D19" s="2">
        <f>COUNTIFS('Evidence Matrix'!D2:D129,5,'Evidence Matrix'!C2:C129,"Verified")</f>
        <v>0</v>
      </c>
      <c r="F19" s="2" t="s">
        <v>111</v>
      </c>
      <c r="G19" s="2" t="s">
        <v>112</v>
      </c>
      <c r="H19" s="2">
        <f>COUNTIF('Evidence Matrix'!E2:E129,"WS-E")</f>
        <v>0</v>
      </c>
    </row>
    <row r="20" spans="1:8">
      <c r="A20" s="2">
        <v>6</v>
      </c>
      <c r="B20" s="2" t="s">
        <v>113</v>
      </c>
      <c r="C20" s="2">
        <f>COUNTIF('Evidence Matrix'!D2:D129,6)</f>
        <v>0</v>
      </c>
      <c r="D20" s="2">
        <f>COUNTIFS('Evidence Matrix'!D2:D129,6,'Evidence Matrix'!C2:C129,"Verified")</f>
        <v>0</v>
      </c>
      <c r="F20" s="2" t="s">
        <v>114</v>
      </c>
      <c r="G20" s="2" t="s">
        <v>115</v>
      </c>
      <c r="H20" s="2">
        <f>COUNTIF('Evidence Matrix'!E2:E129,"WS-F")</f>
        <v>0</v>
      </c>
    </row>
    <row r="21" spans="1:8">
      <c r="A21" s="2">
        <v>7</v>
      </c>
      <c r="B21" s="2" t="s">
        <v>116</v>
      </c>
      <c r="C21" s="2">
        <f>COUNTIF('Evidence Matrix'!D2:D129,7)</f>
        <v>0</v>
      </c>
      <c r="D21" s="2">
        <f>COUNTIFS('Evidence Matrix'!D2:D129,7,'Evidence Matrix'!C2:C129,"Verified")</f>
        <v>0</v>
      </c>
      <c r="F21" s="2" t="s">
        <v>117</v>
      </c>
      <c r="G21" s="2" t="s">
        <v>118</v>
      </c>
      <c r="H21" s="2">
        <f>COUNTIF('Evidence Matrix'!E2:E129,"WS-G")</f>
        <v>0</v>
      </c>
    </row>
    <row r="22" spans="1:8">
      <c r="A22" s="2">
        <v>8</v>
      </c>
      <c r="B22" s="2" t="s">
        <v>119</v>
      </c>
      <c r="C22" s="2">
        <f>COUNTIF('Evidence Matrix'!D2:D129,8)</f>
        <v>0</v>
      </c>
      <c r="D22" s="2">
        <f>COUNTIFS('Evidence Matrix'!D2:D129,8,'Evidence Matrix'!C2:C129,"Verified")</f>
        <v>0</v>
      </c>
      <c r="F22" s="2" t="s">
        <v>120</v>
      </c>
      <c r="G22" s="2" t="s">
        <v>121</v>
      </c>
      <c r="H22" s="2">
        <f>COUNTIF('Evidence Matrix'!E2:E129,"WS-H")</f>
        <v>0</v>
      </c>
    </row>
    <row r="23" spans="1:8">
      <c r="A23" s="2">
        <v>9</v>
      </c>
      <c r="B23" s="2" t="s">
        <v>122</v>
      </c>
      <c r="C23" s="2">
        <f>COUNTIF('Evidence Matrix'!D2:D129,9)</f>
        <v>0</v>
      </c>
      <c r="D23" s="2">
        <f>COUNTIFS('Evidence Matrix'!D2:D129,9,'Evidence Matrix'!C2:C129,"Verified")</f>
        <v>0</v>
      </c>
      <c r="F23" s="2" t="s">
        <v>123</v>
      </c>
      <c r="G23" s="2" t="s">
        <v>124</v>
      </c>
      <c r="H23" s="2">
        <f>COUNTIF('Evidence Matrix'!E2:E129,"WS-I")</f>
        <v>0</v>
      </c>
    </row>
    <row r="24" spans="1:8">
      <c r="A24" s="2">
        <v>10</v>
      </c>
      <c r="B24" s="2" t="s">
        <v>125</v>
      </c>
      <c r="C24" s="2">
        <f>COUNTIF('Evidence Matrix'!D2:D129,10)</f>
        <v>0</v>
      </c>
      <c r="D24" s="2">
        <f>COUNTIFS('Evidence Matrix'!D2:D129,10,'Evidence Matrix'!C2:C129,"Verified")</f>
        <v>0</v>
      </c>
      <c r="F24" s="2" t="s">
        <v>126</v>
      </c>
      <c r="G24" s="2" t="s">
        <v>127</v>
      </c>
      <c r="H24" s="2">
        <f>COUNTIF('Evidence Matrix'!E2:E129,"WS-J")</f>
        <v>0</v>
      </c>
    </row>
    <row r="25" spans="1:8">
      <c r="A25" s="2" t="s">
        <v>128</v>
      </c>
      <c r="B25" s="2" t="s">
        <v>129</v>
      </c>
      <c r="C25" s="2">
        <f>B5-SUM(C15:C24)</f>
        <v>128</v>
      </c>
      <c r="D25" s="2">
        <f>COUNTIF('Evidence Matrix'!C2:C129,"Verified")-SUM(D15:D24)</f>
        <v>0</v>
      </c>
      <c r="F25" s="2" t="s">
        <v>130</v>
      </c>
      <c r="G25" s="2" t="s">
        <v>131</v>
      </c>
      <c r="H25" s="2">
        <f>COUNTIF('Evidence Matrix'!E2:E129,"WS-K")</f>
        <v>0</v>
      </c>
    </row>
    <row r="26" spans="1:8">
      <c r="F26" s="2" t="s">
        <v>132</v>
      </c>
      <c r="G26" s="2" t="s">
        <v>133</v>
      </c>
      <c r="H26" s="2">
        <f>COUNTIF('Evidence Matrix'!E2:E129,"WS-L")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0"/>
  <sheetViews>
    <sheetView showGridLines="0" workbookViewId="0"/>
  </sheetViews>
  <sheetFormatPr defaultRowHeight="15"/>
  <cols>
    <col min="1" max="1" width="14.7109375" customWidth="1"/>
    <col min="2" max="2" width="34.7109375" customWidth="1"/>
    <col min="3" max="4" width="45" customWidth="1"/>
    <col min="5" max="5" width="22" customWidth="1"/>
    <col min="6" max="6" width="28" customWidth="1"/>
    <col min="7" max="7" width="55" customWidth="1"/>
    <col min="8" max="8" width="46.7109375" customWidth="1"/>
    <col min="9" max="9" width="42.7109375" customWidth="1"/>
    <col min="10" max="11" width="20" customWidth="1"/>
    <col min="12" max="12" width="12.7109375" customWidth="1"/>
    <col min="13" max="14" width="10.7109375" customWidth="1"/>
    <col min="15" max="15" width="20.7109375" customWidth="1"/>
    <col min="16" max="17" width="18.7109375" customWidth="1"/>
    <col min="18" max="18" width="16.7109375" customWidth="1"/>
    <col min="19" max="19" width="15.7109375" customWidth="1"/>
    <col min="20" max="20" width="50.7109375" customWidth="1"/>
    <col min="21" max="26" width="18.7109375" customWidth="1"/>
    <col min="27" max="28" width="45.7109375" customWidth="1"/>
    <col min="29" max="29" width="15.7109375" customWidth="1"/>
    <col min="30" max="30" width="30.7109375" customWidth="1"/>
    <col min="31" max="31" width="28" customWidth="1"/>
    <col min="32" max="34" width="18" customWidth="1"/>
    <col min="35" max="35" width="30" customWidth="1"/>
  </cols>
  <sheetData>
    <row r="1" spans="1:35">
      <c r="A1" s="3" t="s">
        <v>134</v>
      </c>
      <c r="B1" s="3" t="s">
        <v>135</v>
      </c>
      <c r="C1" s="10" t="s">
        <v>136</v>
      </c>
      <c r="D1" s="10" t="s">
        <v>137</v>
      </c>
      <c r="E1" s="3" t="s">
        <v>138</v>
      </c>
      <c r="F1" s="3" t="s">
        <v>139</v>
      </c>
      <c r="G1" s="10" t="s">
        <v>140</v>
      </c>
      <c r="H1" s="3" t="s">
        <v>141</v>
      </c>
      <c r="I1" s="3" t="s">
        <v>142</v>
      </c>
      <c r="J1" s="3" t="s">
        <v>143</v>
      </c>
      <c r="K1" s="3" t="s">
        <v>144</v>
      </c>
      <c r="L1" s="3" t="s">
        <v>92</v>
      </c>
      <c r="M1" s="3" t="s">
        <v>96</v>
      </c>
      <c r="N1" s="3" t="s">
        <v>145</v>
      </c>
      <c r="O1" s="3" t="s">
        <v>146</v>
      </c>
      <c r="P1" s="3" t="s">
        <v>147</v>
      </c>
      <c r="Q1" s="3" t="s">
        <v>148</v>
      </c>
      <c r="R1" s="3" t="s">
        <v>149</v>
      </c>
      <c r="S1" s="3" t="s">
        <v>150</v>
      </c>
      <c r="T1" s="3" t="s">
        <v>151</v>
      </c>
      <c r="U1" s="3" t="s">
        <v>152</v>
      </c>
      <c r="V1" s="3" t="s">
        <v>153</v>
      </c>
      <c r="W1" s="3" t="s">
        <v>154</v>
      </c>
      <c r="X1" s="3" t="s">
        <v>155</v>
      </c>
      <c r="Y1" s="3" t="s">
        <v>156</v>
      </c>
      <c r="Z1" s="3" t="s">
        <v>157</v>
      </c>
      <c r="AA1" s="3" t="s">
        <v>158</v>
      </c>
      <c r="AB1" s="3" t="s">
        <v>159</v>
      </c>
      <c r="AC1" s="3" t="s">
        <v>160</v>
      </c>
      <c r="AD1" s="3" t="s">
        <v>161</v>
      </c>
      <c r="AE1" s="10" t="s">
        <v>162</v>
      </c>
      <c r="AF1" s="10" t="s">
        <v>163</v>
      </c>
      <c r="AG1" s="10" t="s">
        <v>164</v>
      </c>
      <c r="AH1" s="10" t="s">
        <v>165</v>
      </c>
      <c r="AI1" s="10" t="s">
        <v>166</v>
      </c>
    </row>
    <row r="2" spans="1:35">
      <c r="A2" s="2" t="s">
        <v>167</v>
      </c>
      <c r="B2" s="2" t="s">
        <v>168</v>
      </c>
      <c r="C2" s="4" t="s">
        <v>169</v>
      </c>
      <c r="D2" s="4" t="s">
        <v>170</v>
      </c>
      <c r="E2" s="2" t="s">
        <v>171</v>
      </c>
      <c r="F2" s="2" t="s">
        <v>172</v>
      </c>
      <c r="G2" s="2" t="s">
        <v>173</v>
      </c>
      <c r="H2" s="2" t="s">
        <v>174</v>
      </c>
      <c r="I2" s="4" t="s">
        <v>175</v>
      </c>
      <c r="J2" s="2" t="s">
        <v>2</v>
      </c>
      <c r="K2" s="2" t="s">
        <v>88</v>
      </c>
      <c r="L2" s="2" t="s">
        <v>176</v>
      </c>
      <c r="M2" s="2" t="s">
        <v>99</v>
      </c>
      <c r="N2" s="2" t="s">
        <v>177</v>
      </c>
      <c r="O2" s="2" t="s">
        <v>178</v>
      </c>
      <c r="P2" s="2" t="s">
        <v>179</v>
      </c>
      <c r="Q2" s="2" t="s">
        <v>180</v>
      </c>
      <c r="R2" s="2" t="s">
        <v>181</v>
      </c>
      <c r="S2" s="2" t="s">
        <v>82</v>
      </c>
      <c r="T2" s="2" t="s">
        <v>182</v>
      </c>
      <c r="U2" s="2" t="s">
        <v>183</v>
      </c>
      <c r="V2" s="2" t="s">
        <v>183</v>
      </c>
      <c r="W2" s="2" t="s">
        <v>183</v>
      </c>
      <c r="X2" s="2" t="s">
        <v>184</v>
      </c>
      <c r="Y2" s="2" t="s">
        <v>184</v>
      </c>
      <c r="Z2" s="2" t="s">
        <v>185</v>
      </c>
      <c r="AA2" s="2" t="s">
        <v>186</v>
      </c>
      <c r="AB2" s="2" t="s">
        <v>187</v>
      </c>
      <c r="AC2" s="2" t="s">
        <v>188</v>
      </c>
      <c r="AD2" s="2" t="s">
        <v>189</v>
      </c>
      <c r="AE2" s="2" t="s">
        <v>190</v>
      </c>
      <c r="AF2" s="2" t="s">
        <v>191</v>
      </c>
      <c r="AG2" s="2" t="s">
        <v>2</v>
      </c>
      <c r="AH2" s="2" t="s">
        <v>192</v>
      </c>
      <c r="AI2" s="2" t="s">
        <v>193</v>
      </c>
    </row>
    <row r="3" spans="1:35">
      <c r="A3" s="2" t="s">
        <v>194</v>
      </c>
      <c r="B3" s="2" t="s">
        <v>195</v>
      </c>
      <c r="C3" s="4" t="s">
        <v>196</v>
      </c>
      <c r="D3" s="4" t="s">
        <v>197</v>
      </c>
      <c r="E3" s="2" t="s">
        <v>198</v>
      </c>
      <c r="F3" s="2" t="s">
        <v>199</v>
      </c>
      <c r="G3" s="2" t="s">
        <v>200</v>
      </c>
      <c r="H3" s="2" t="s">
        <v>201</v>
      </c>
      <c r="I3" s="4" t="s">
        <v>202</v>
      </c>
      <c r="J3" s="2" t="s">
        <v>2</v>
      </c>
      <c r="K3" s="2" t="s">
        <v>88</v>
      </c>
      <c r="L3" s="2" t="s">
        <v>176</v>
      </c>
      <c r="M3" s="2" t="s">
        <v>99</v>
      </c>
      <c r="N3" s="2" t="s">
        <v>177</v>
      </c>
      <c r="O3" s="2" t="s">
        <v>203</v>
      </c>
      <c r="P3" s="2" t="s">
        <v>179</v>
      </c>
      <c r="Q3" s="2" t="s">
        <v>180</v>
      </c>
      <c r="R3" s="2" t="s">
        <v>181</v>
      </c>
      <c r="S3" s="2" t="s">
        <v>84</v>
      </c>
      <c r="T3" s="2" t="s">
        <v>204</v>
      </c>
      <c r="U3" s="2" t="s">
        <v>183</v>
      </c>
      <c r="V3" s="2" t="s">
        <v>183</v>
      </c>
      <c r="W3" s="2" t="s">
        <v>183</v>
      </c>
      <c r="X3" s="2" t="s">
        <v>184</v>
      </c>
      <c r="Y3" s="2" t="s">
        <v>205</v>
      </c>
      <c r="Z3" s="2" t="s">
        <v>206</v>
      </c>
      <c r="AA3" s="2" t="s">
        <v>207</v>
      </c>
      <c r="AB3" s="2" t="s">
        <v>187</v>
      </c>
      <c r="AC3" s="2" t="s">
        <v>208</v>
      </c>
      <c r="AE3" s="2" t="s">
        <v>190</v>
      </c>
      <c r="AF3" s="2" t="s">
        <v>191</v>
      </c>
      <c r="AG3" s="2" t="s">
        <v>2</v>
      </c>
      <c r="AH3" s="2" t="s">
        <v>192</v>
      </c>
      <c r="AI3" s="2" t="s">
        <v>193</v>
      </c>
    </row>
    <row r="4" spans="1:35">
      <c r="A4" s="2" t="s">
        <v>209</v>
      </c>
      <c r="B4" s="2" t="s">
        <v>210</v>
      </c>
      <c r="C4" s="7" t="s">
        <v>211</v>
      </c>
      <c r="D4" s="7" t="s">
        <v>212</v>
      </c>
      <c r="E4" s="6" t="s">
        <v>198</v>
      </c>
      <c r="F4" s="7" t="s">
        <v>213</v>
      </c>
      <c r="G4" s="2" t="s">
        <v>214</v>
      </c>
      <c r="H4" s="2" t="s">
        <v>215</v>
      </c>
      <c r="I4" s="4" t="s">
        <v>216</v>
      </c>
      <c r="J4" s="7" t="s">
        <v>2</v>
      </c>
      <c r="K4" s="7" t="s">
        <v>217</v>
      </c>
      <c r="L4" s="2" t="s">
        <v>176</v>
      </c>
      <c r="M4" s="2" t="s">
        <v>99</v>
      </c>
      <c r="N4" s="2" t="s">
        <v>218</v>
      </c>
      <c r="O4" s="2" t="s">
        <v>203</v>
      </c>
      <c r="P4" s="2" t="s">
        <v>219</v>
      </c>
      <c r="Q4" s="2" t="s">
        <v>180</v>
      </c>
      <c r="R4" s="2" t="s">
        <v>181</v>
      </c>
      <c r="S4" s="2" t="s">
        <v>84</v>
      </c>
      <c r="T4" s="2" t="s">
        <v>220</v>
      </c>
      <c r="U4" s="2" t="s">
        <v>183</v>
      </c>
      <c r="V4" s="2" t="s">
        <v>183</v>
      </c>
      <c r="W4" s="2" t="s">
        <v>183</v>
      </c>
      <c r="X4" s="2" t="s">
        <v>184</v>
      </c>
      <c r="Y4" s="2" t="s">
        <v>205</v>
      </c>
      <c r="Z4" s="2" t="s">
        <v>221</v>
      </c>
      <c r="AA4" s="2" t="s">
        <v>222</v>
      </c>
      <c r="AB4" s="2" t="s">
        <v>187</v>
      </c>
      <c r="AC4" s="2" t="s">
        <v>208</v>
      </c>
      <c r="AE4" s="2" t="s">
        <v>223</v>
      </c>
      <c r="AF4" s="2" t="s">
        <v>224</v>
      </c>
      <c r="AG4" s="2" t="s">
        <v>2</v>
      </c>
      <c r="AH4" s="2" t="s">
        <v>225</v>
      </c>
      <c r="AI4" s="2" t="s">
        <v>193</v>
      </c>
    </row>
    <row r="5" spans="1:35">
      <c r="A5" s="2" t="s">
        <v>226</v>
      </c>
      <c r="B5" s="2" t="s">
        <v>227</v>
      </c>
      <c r="C5" s="7" t="s">
        <v>228</v>
      </c>
      <c r="D5" s="7" t="s">
        <v>229</v>
      </c>
      <c r="E5" s="6" t="s">
        <v>230</v>
      </c>
      <c r="F5" s="7" t="s">
        <v>213</v>
      </c>
      <c r="G5" s="2" t="s">
        <v>231</v>
      </c>
      <c r="H5" s="2" t="s">
        <v>232</v>
      </c>
      <c r="I5" s="4" t="s">
        <v>233</v>
      </c>
      <c r="J5" s="7" t="s">
        <v>2</v>
      </c>
      <c r="K5" s="7" t="s">
        <v>217</v>
      </c>
      <c r="L5" s="2" t="s">
        <v>176</v>
      </c>
      <c r="M5" s="2" t="s">
        <v>99</v>
      </c>
      <c r="N5" s="2" t="s">
        <v>177</v>
      </c>
      <c r="O5" s="2" t="s">
        <v>203</v>
      </c>
      <c r="P5" s="2" t="s">
        <v>179</v>
      </c>
      <c r="Q5" s="2" t="s">
        <v>180</v>
      </c>
      <c r="R5" s="2" t="s">
        <v>234</v>
      </c>
      <c r="S5" s="2" t="s">
        <v>84</v>
      </c>
      <c r="T5" s="2" t="s">
        <v>235</v>
      </c>
      <c r="U5" s="2" t="s">
        <v>183</v>
      </c>
      <c r="V5" s="2" t="s">
        <v>183</v>
      </c>
      <c r="W5" s="2" t="s">
        <v>183</v>
      </c>
      <c r="X5" s="2" t="s">
        <v>184</v>
      </c>
      <c r="Y5" s="2" t="s">
        <v>205</v>
      </c>
      <c r="Z5" s="2" t="s">
        <v>236</v>
      </c>
      <c r="AA5" s="2" t="s">
        <v>237</v>
      </c>
      <c r="AC5" s="2" t="s">
        <v>238</v>
      </c>
      <c r="AE5" s="2" t="s">
        <v>190</v>
      </c>
      <c r="AF5" s="2" t="s">
        <v>191</v>
      </c>
      <c r="AG5" s="2" t="s">
        <v>2</v>
      </c>
      <c r="AH5" s="2" t="s">
        <v>192</v>
      </c>
      <c r="AI5" s="2" t="s">
        <v>193</v>
      </c>
    </row>
    <row r="6" spans="1:35">
      <c r="A6" s="2" t="s">
        <v>239</v>
      </c>
      <c r="B6" s="2" t="s">
        <v>240</v>
      </c>
      <c r="C6" s="4" t="s">
        <v>241</v>
      </c>
      <c r="D6" s="4" t="s">
        <v>242</v>
      </c>
      <c r="E6" s="2" t="s">
        <v>198</v>
      </c>
      <c r="F6" s="2" t="s">
        <v>199</v>
      </c>
      <c r="G6" s="2" t="s">
        <v>243</v>
      </c>
      <c r="H6" s="2" t="s">
        <v>244</v>
      </c>
      <c r="I6" s="4" t="s">
        <v>245</v>
      </c>
      <c r="J6" s="2" t="s">
        <v>2</v>
      </c>
      <c r="K6" s="2" t="s">
        <v>88</v>
      </c>
      <c r="L6" s="2" t="s">
        <v>176</v>
      </c>
      <c r="M6" s="2" t="s">
        <v>123</v>
      </c>
      <c r="N6" s="2" t="s">
        <v>177</v>
      </c>
      <c r="O6" s="2" t="s">
        <v>246</v>
      </c>
      <c r="P6" s="2" t="s">
        <v>219</v>
      </c>
      <c r="Q6" s="2" t="s">
        <v>180</v>
      </c>
      <c r="R6" s="2" t="s">
        <v>234</v>
      </c>
      <c r="S6" s="2" t="s">
        <v>82</v>
      </c>
      <c r="T6" s="2" t="s">
        <v>247</v>
      </c>
      <c r="U6" s="2" t="s">
        <v>183</v>
      </c>
      <c r="V6" s="2" t="s">
        <v>183</v>
      </c>
      <c r="W6" s="2" t="s">
        <v>183</v>
      </c>
      <c r="X6" s="2" t="s">
        <v>184</v>
      </c>
      <c r="Y6" s="2" t="s">
        <v>184</v>
      </c>
      <c r="Z6" s="2" t="s">
        <v>248</v>
      </c>
      <c r="AA6" s="2" t="s">
        <v>249</v>
      </c>
      <c r="AB6" s="2" t="s">
        <v>250</v>
      </c>
      <c r="AC6" s="2" t="s">
        <v>238</v>
      </c>
      <c r="AD6" s="2" t="s">
        <v>251</v>
      </c>
      <c r="AE6" s="2" t="s">
        <v>223</v>
      </c>
      <c r="AF6" s="2" t="s">
        <v>224</v>
      </c>
      <c r="AG6" s="2" t="s">
        <v>2</v>
      </c>
      <c r="AH6" s="2" t="s">
        <v>225</v>
      </c>
      <c r="AI6" s="2" t="s">
        <v>193</v>
      </c>
    </row>
    <row r="7" spans="1:35">
      <c r="A7" s="2" t="s">
        <v>252</v>
      </c>
      <c r="B7" s="2" t="s">
        <v>253</v>
      </c>
      <c r="C7" s="7" t="s">
        <v>254</v>
      </c>
      <c r="D7" s="7" t="s">
        <v>255</v>
      </c>
      <c r="E7" s="6" t="s">
        <v>256</v>
      </c>
      <c r="F7" s="7" t="s">
        <v>213</v>
      </c>
      <c r="G7" s="2" t="s">
        <v>257</v>
      </c>
      <c r="H7" s="2" t="s">
        <v>258</v>
      </c>
      <c r="I7" s="4" t="s">
        <v>259</v>
      </c>
      <c r="J7" s="7" t="s">
        <v>2</v>
      </c>
      <c r="K7" s="7" t="s">
        <v>217</v>
      </c>
      <c r="L7" s="2" t="s">
        <v>176</v>
      </c>
      <c r="M7" s="2" t="s">
        <v>123</v>
      </c>
      <c r="N7" s="2" t="s">
        <v>177</v>
      </c>
      <c r="O7" s="2" t="s">
        <v>246</v>
      </c>
      <c r="P7" s="2" t="s">
        <v>219</v>
      </c>
      <c r="Q7" s="2" t="s">
        <v>260</v>
      </c>
      <c r="R7" s="2" t="s">
        <v>261</v>
      </c>
      <c r="S7" s="2" t="s">
        <v>82</v>
      </c>
      <c r="T7" s="2" t="s">
        <v>262</v>
      </c>
      <c r="U7" s="2" t="s">
        <v>183</v>
      </c>
      <c r="V7" s="2" t="s">
        <v>183</v>
      </c>
      <c r="W7" s="2" t="s">
        <v>183</v>
      </c>
      <c r="X7" s="2" t="s">
        <v>184</v>
      </c>
      <c r="Y7" s="2" t="s">
        <v>184</v>
      </c>
      <c r="Z7" s="2" t="s">
        <v>263</v>
      </c>
      <c r="AA7" s="2" t="s">
        <v>264</v>
      </c>
      <c r="AB7" s="2" t="s">
        <v>250</v>
      </c>
      <c r="AC7" s="2" t="s">
        <v>238</v>
      </c>
      <c r="AD7" s="2" t="s">
        <v>251</v>
      </c>
      <c r="AE7" s="2" t="s">
        <v>223</v>
      </c>
      <c r="AF7" s="2" t="s">
        <v>224</v>
      </c>
      <c r="AG7" s="2" t="s">
        <v>2</v>
      </c>
      <c r="AH7" s="2" t="s">
        <v>225</v>
      </c>
      <c r="AI7" s="2" t="s">
        <v>193</v>
      </c>
    </row>
    <row r="8" spans="1:35">
      <c r="A8" s="2" t="s">
        <v>265</v>
      </c>
      <c r="B8" s="2" t="s">
        <v>266</v>
      </c>
      <c r="C8" s="7" t="s">
        <v>267</v>
      </c>
      <c r="D8" s="7" t="s">
        <v>268</v>
      </c>
      <c r="E8" s="6" t="s">
        <v>256</v>
      </c>
      <c r="F8" s="7" t="s">
        <v>213</v>
      </c>
      <c r="G8" s="2" t="s">
        <v>269</v>
      </c>
      <c r="H8" s="2" t="s">
        <v>270</v>
      </c>
      <c r="I8" s="4" t="s">
        <v>271</v>
      </c>
      <c r="J8" s="7" t="s">
        <v>2</v>
      </c>
      <c r="K8" s="7" t="s">
        <v>217</v>
      </c>
      <c r="L8" s="2" t="s">
        <v>176</v>
      </c>
      <c r="M8" s="2" t="s">
        <v>123</v>
      </c>
      <c r="N8" s="2" t="s">
        <v>177</v>
      </c>
      <c r="O8" s="2" t="s">
        <v>246</v>
      </c>
      <c r="P8" s="2" t="s">
        <v>272</v>
      </c>
      <c r="Q8" s="2" t="s">
        <v>273</v>
      </c>
      <c r="R8" s="2" t="s">
        <v>234</v>
      </c>
      <c r="S8" s="2" t="s">
        <v>82</v>
      </c>
      <c r="T8" s="2" t="s">
        <v>274</v>
      </c>
      <c r="U8" s="2" t="s">
        <v>183</v>
      </c>
      <c r="V8" s="2" t="s">
        <v>183</v>
      </c>
      <c r="W8" s="2" t="s">
        <v>183</v>
      </c>
      <c r="X8" s="2" t="s">
        <v>184</v>
      </c>
      <c r="Y8" s="2" t="s">
        <v>205</v>
      </c>
      <c r="Z8" s="2" t="s">
        <v>275</v>
      </c>
      <c r="AA8" s="2" t="s">
        <v>276</v>
      </c>
      <c r="AB8" s="2" t="s">
        <v>187</v>
      </c>
      <c r="AC8" s="2" t="s">
        <v>238</v>
      </c>
      <c r="AE8" s="2" t="s">
        <v>223</v>
      </c>
      <c r="AF8" s="2" t="s">
        <v>224</v>
      </c>
      <c r="AG8" s="2" t="s">
        <v>2</v>
      </c>
      <c r="AH8" s="2" t="s">
        <v>225</v>
      </c>
      <c r="AI8" s="2" t="s">
        <v>193</v>
      </c>
    </row>
    <row r="9" spans="1:35">
      <c r="A9" s="2" t="s">
        <v>277</v>
      </c>
      <c r="B9" s="2" t="s">
        <v>278</v>
      </c>
      <c r="C9" s="4" t="s">
        <v>279</v>
      </c>
      <c r="D9" s="4" t="s">
        <v>280</v>
      </c>
      <c r="E9" s="2" t="s">
        <v>281</v>
      </c>
      <c r="F9" s="2" t="s">
        <v>199</v>
      </c>
      <c r="G9" s="2" t="s">
        <v>282</v>
      </c>
      <c r="H9" s="2" t="s">
        <v>283</v>
      </c>
      <c r="I9" s="4" t="s">
        <v>284</v>
      </c>
      <c r="J9" s="2" t="s">
        <v>2</v>
      </c>
      <c r="K9" s="2" t="s">
        <v>88</v>
      </c>
      <c r="L9" s="2" t="s">
        <v>176</v>
      </c>
      <c r="M9" s="2" t="s">
        <v>108</v>
      </c>
      <c r="N9" s="2" t="s">
        <v>177</v>
      </c>
      <c r="O9" s="2" t="s">
        <v>285</v>
      </c>
      <c r="P9" s="2" t="s">
        <v>179</v>
      </c>
      <c r="Q9" s="2" t="s">
        <v>286</v>
      </c>
      <c r="R9" s="2" t="s">
        <v>181</v>
      </c>
      <c r="S9" s="2" t="s">
        <v>82</v>
      </c>
      <c r="T9" s="2" t="s">
        <v>287</v>
      </c>
      <c r="U9" s="2" t="s">
        <v>183</v>
      </c>
      <c r="V9" s="2" t="s">
        <v>183</v>
      </c>
      <c r="W9" s="2" t="s">
        <v>183</v>
      </c>
      <c r="X9" s="2" t="s">
        <v>184</v>
      </c>
      <c r="Y9" s="2" t="s">
        <v>184</v>
      </c>
      <c r="Z9" s="2" t="s">
        <v>288</v>
      </c>
      <c r="AA9" s="2" t="s">
        <v>289</v>
      </c>
      <c r="AB9" s="2" t="s">
        <v>187</v>
      </c>
      <c r="AC9" s="2" t="s">
        <v>208</v>
      </c>
      <c r="AD9" s="2" t="s">
        <v>290</v>
      </c>
      <c r="AE9" s="2" t="s">
        <v>190</v>
      </c>
      <c r="AF9" s="2" t="s">
        <v>191</v>
      </c>
      <c r="AG9" s="2" t="s">
        <v>2</v>
      </c>
      <c r="AH9" s="2" t="s">
        <v>192</v>
      </c>
      <c r="AI9" s="2" t="s">
        <v>193</v>
      </c>
    </row>
    <row r="10" spans="1:35">
      <c r="A10" s="2" t="s">
        <v>291</v>
      </c>
      <c r="B10" s="2" t="s">
        <v>292</v>
      </c>
      <c r="C10" s="7" t="s">
        <v>293</v>
      </c>
      <c r="D10" s="7" t="s">
        <v>294</v>
      </c>
      <c r="E10" s="6" t="s">
        <v>256</v>
      </c>
      <c r="F10" s="7" t="s">
        <v>213</v>
      </c>
      <c r="G10" s="2" t="s">
        <v>295</v>
      </c>
      <c r="H10" s="2" t="s">
        <v>296</v>
      </c>
      <c r="I10" s="4" t="s">
        <v>297</v>
      </c>
      <c r="J10" s="7" t="s">
        <v>2</v>
      </c>
      <c r="K10" s="7" t="s">
        <v>217</v>
      </c>
      <c r="L10" s="2" t="s">
        <v>176</v>
      </c>
      <c r="M10" s="2" t="s">
        <v>117</v>
      </c>
      <c r="N10" s="2" t="s">
        <v>177</v>
      </c>
      <c r="O10" s="2" t="s">
        <v>203</v>
      </c>
      <c r="P10" s="2" t="s">
        <v>179</v>
      </c>
      <c r="Q10" s="2" t="s">
        <v>273</v>
      </c>
      <c r="R10" s="2" t="s">
        <v>181</v>
      </c>
      <c r="S10" s="2" t="s">
        <v>84</v>
      </c>
      <c r="T10" s="2" t="s">
        <v>298</v>
      </c>
      <c r="U10" s="2" t="s">
        <v>183</v>
      </c>
      <c r="V10" s="2" t="s">
        <v>183</v>
      </c>
      <c r="W10" s="2" t="s">
        <v>183</v>
      </c>
      <c r="X10" s="2" t="s">
        <v>184</v>
      </c>
      <c r="Y10" s="2" t="s">
        <v>205</v>
      </c>
      <c r="Z10" s="2" t="s">
        <v>299</v>
      </c>
      <c r="AA10" s="2" t="s">
        <v>300</v>
      </c>
      <c r="AC10" s="2" t="s">
        <v>301</v>
      </c>
      <c r="AD10" s="2" t="s">
        <v>302</v>
      </c>
      <c r="AE10" s="2" t="s">
        <v>223</v>
      </c>
      <c r="AF10" s="2" t="s">
        <v>224</v>
      </c>
      <c r="AG10" s="2" t="s">
        <v>2</v>
      </c>
      <c r="AH10" s="2" t="s">
        <v>225</v>
      </c>
      <c r="AI10" s="2" t="s">
        <v>193</v>
      </c>
    </row>
    <row r="11" spans="1:35">
      <c r="A11" s="2" t="s">
        <v>303</v>
      </c>
      <c r="B11" s="2" t="s">
        <v>304</v>
      </c>
      <c r="C11" s="7" t="s">
        <v>305</v>
      </c>
      <c r="D11" s="7" t="s">
        <v>306</v>
      </c>
      <c r="E11" s="6" t="s">
        <v>230</v>
      </c>
      <c r="F11" s="7" t="s">
        <v>213</v>
      </c>
      <c r="G11" s="2" t="s">
        <v>307</v>
      </c>
      <c r="H11" s="2" t="s">
        <v>308</v>
      </c>
      <c r="I11" s="4" t="s">
        <v>309</v>
      </c>
      <c r="J11" s="7" t="s">
        <v>2</v>
      </c>
      <c r="K11" s="7" t="s">
        <v>217</v>
      </c>
      <c r="L11" s="2" t="s">
        <v>176</v>
      </c>
      <c r="M11" s="2" t="s">
        <v>117</v>
      </c>
      <c r="N11" s="2" t="s">
        <v>177</v>
      </c>
      <c r="O11" s="2" t="s">
        <v>203</v>
      </c>
      <c r="P11" s="2" t="s">
        <v>219</v>
      </c>
      <c r="Q11" s="2" t="s">
        <v>310</v>
      </c>
      <c r="R11" s="2" t="s">
        <v>234</v>
      </c>
      <c r="S11" s="2" t="s">
        <v>84</v>
      </c>
      <c r="T11" s="2" t="s">
        <v>311</v>
      </c>
      <c r="U11" s="2" t="s">
        <v>183</v>
      </c>
      <c r="V11" s="2" t="s">
        <v>183</v>
      </c>
      <c r="W11" s="2" t="s">
        <v>183</v>
      </c>
      <c r="X11" s="2" t="s">
        <v>184</v>
      </c>
      <c r="Y11" s="2" t="s">
        <v>205</v>
      </c>
      <c r="Z11" s="2" t="s">
        <v>312</v>
      </c>
      <c r="AA11" s="2" t="s">
        <v>313</v>
      </c>
      <c r="AB11" s="2" t="s">
        <v>314</v>
      </c>
      <c r="AC11" s="2" t="s">
        <v>315</v>
      </c>
      <c r="AE11" s="2" t="s">
        <v>223</v>
      </c>
      <c r="AF11" s="2" t="s">
        <v>224</v>
      </c>
      <c r="AG11" s="2" t="s">
        <v>2</v>
      </c>
      <c r="AH11" s="2" t="s">
        <v>225</v>
      </c>
      <c r="AI11" s="2" t="s">
        <v>193</v>
      </c>
    </row>
    <row r="12" spans="1:35">
      <c r="A12" s="2" t="s">
        <v>316</v>
      </c>
      <c r="B12" s="2" t="s">
        <v>317</v>
      </c>
      <c r="C12" s="7" t="s">
        <v>318</v>
      </c>
      <c r="D12" s="7" t="s">
        <v>319</v>
      </c>
      <c r="E12" s="6" t="s">
        <v>320</v>
      </c>
      <c r="F12" s="7" t="s">
        <v>213</v>
      </c>
      <c r="G12" s="2" t="s">
        <v>321</v>
      </c>
      <c r="H12" s="2" t="s">
        <v>322</v>
      </c>
      <c r="I12" s="4" t="s">
        <v>323</v>
      </c>
      <c r="J12" s="7" t="s">
        <v>2</v>
      </c>
      <c r="K12" s="7" t="s">
        <v>217</v>
      </c>
      <c r="L12" s="2" t="s">
        <v>176</v>
      </c>
      <c r="M12" s="2" t="s">
        <v>117</v>
      </c>
      <c r="N12" s="2" t="s">
        <v>218</v>
      </c>
      <c r="O12" s="2" t="s">
        <v>246</v>
      </c>
      <c r="P12" s="2" t="s">
        <v>219</v>
      </c>
      <c r="Q12" s="2" t="s">
        <v>310</v>
      </c>
      <c r="R12" s="2" t="s">
        <v>181</v>
      </c>
      <c r="S12" s="2" t="s">
        <v>84</v>
      </c>
      <c r="T12" s="2" t="s">
        <v>324</v>
      </c>
      <c r="U12" s="2" t="s">
        <v>183</v>
      </c>
      <c r="V12" s="2" t="s">
        <v>183</v>
      </c>
      <c r="W12" s="2" t="s">
        <v>183</v>
      </c>
      <c r="X12" s="2" t="s">
        <v>205</v>
      </c>
      <c r="Y12" s="2" t="s">
        <v>184</v>
      </c>
      <c r="Z12" s="2" t="s">
        <v>325</v>
      </c>
      <c r="AA12" s="2" t="s">
        <v>326</v>
      </c>
      <c r="AB12" s="2" t="s">
        <v>314</v>
      </c>
      <c r="AC12" s="2" t="s">
        <v>327</v>
      </c>
      <c r="AE12" s="2" t="s">
        <v>223</v>
      </c>
      <c r="AF12" s="2" t="s">
        <v>224</v>
      </c>
      <c r="AG12" s="2" t="s">
        <v>2</v>
      </c>
      <c r="AH12" s="2" t="s">
        <v>225</v>
      </c>
      <c r="AI12" s="2" t="s">
        <v>193</v>
      </c>
    </row>
    <row r="13" spans="1:35">
      <c r="A13" s="2" t="s">
        <v>328</v>
      </c>
      <c r="B13" s="2" t="s">
        <v>329</v>
      </c>
      <c r="C13" s="7" t="s">
        <v>330</v>
      </c>
      <c r="D13" s="7" t="s">
        <v>331</v>
      </c>
      <c r="E13" s="6" t="s">
        <v>332</v>
      </c>
      <c r="F13" s="7" t="s">
        <v>333</v>
      </c>
      <c r="G13" s="2" t="s">
        <v>334</v>
      </c>
      <c r="H13" s="2" t="s">
        <v>335</v>
      </c>
      <c r="I13" s="4" t="s">
        <v>336</v>
      </c>
      <c r="J13" s="7" t="s">
        <v>2</v>
      </c>
      <c r="K13" s="7" t="s">
        <v>217</v>
      </c>
      <c r="L13" s="2" t="s">
        <v>176</v>
      </c>
      <c r="M13" s="2" t="s">
        <v>117</v>
      </c>
      <c r="N13" s="2" t="s">
        <v>177</v>
      </c>
      <c r="O13" s="2" t="s">
        <v>203</v>
      </c>
      <c r="P13" s="2" t="s">
        <v>272</v>
      </c>
      <c r="Q13" s="2" t="s">
        <v>337</v>
      </c>
      <c r="R13" s="2" t="s">
        <v>234</v>
      </c>
      <c r="S13" s="2" t="s">
        <v>84</v>
      </c>
      <c r="T13" s="2" t="s">
        <v>338</v>
      </c>
      <c r="U13" s="2" t="s">
        <v>183</v>
      </c>
      <c r="V13" s="2" t="s">
        <v>183</v>
      </c>
      <c r="W13" s="2" t="s">
        <v>183</v>
      </c>
      <c r="X13" s="2" t="s">
        <v>184</v>
      </c>
      <c r="Y13" s="2" t="s">
        <v>339</v>
      </c>
      <c r="Z13" s="2" t="s">
        <v>340</v>
      </c>
      <c r="AA13" s="2" t="s">
        <v>341</v>
      </c>
      <c r="AB13" s="2" t="s">
        <v>187</v>
      </c>
      <c r="AC13" s="2" t="s">
        <v>327</v>
      </c>
      <c r="AE13" s="2" t="s">
        <v>223</v>
      </c>
      <c r="AF13" s="2" t="s">
        <v>224</v>
      </c>
      <c r="AG13" s="2" t="s">
        <v>2</v>
      </c>
      <c r="AH13" s="2" t="s">
        <v>225</v>
      </c>
      <c r="AI13" s="2" t="s">
        <v>342</v>
      </c>
    </row>
    <row r="14" spans="1:35">
      <c r="A14" s="2" t="s">
        <v>343</v>
      </c>
      <c r="B14" s="2" t="s">
        <v>344</v>
      </c>
      <c r="C14" s="7" t="s">
        <v>345</v>
      </c>
      <c r="D14" s="7" t="s">
        <v>346</v>
      </c>
      <c r="E14" s="6" t="s">
        <v>347</v>
      </c>
      <c r="F14" s="7" t="s">
        <v>213</v>
      </c>
      <c r="G14" s="2" t="s">
        <v>348</v>
      </c>
      <c r="H14" s="2" t="s">
        <v>349</v>
      </c>
      <c r="I14" s="4" t="s">
        <v>350</v>
      </c>
      <c r="J14" s="7" t="s">
        <v>2</v>
      </c>
      <c r="K14" s="7" t="s">
        <v>217</v>
      </c>
      <c r="L14" s="2" t="s">
        <v>176</v>
      </c>
      <c r="M14" s="2" t="s">
        <v>117</v>
      </c>
      <c r="N14" s="2" t="s">
        <v>218</v>
      </c>
      <c r="O14" s="2" t="s">
        <v>351</v>
      </c>
      <c r="P14" s="2" t="s">
        <v>219</v>
      </c>
      <c r="Q14" s="2" t="s">
        <v>337</v>
      </c>
      <c r="R14" s="2" t="s">
        <v>234</v>
      </c>
      <c r="S14" s="2" t="s">
        <v>86</v>
      </c>
      <c r="T14" s="2" t="s">
        <v>352</v>
      </c>
      <c r="U14" s="2" t="s">
        <v>183</v>
      </c>
      <c r="V14" s="2" t="s">
        <v>183</v>
      </c>
      <c r="W14" s="2" t="s">
        <v>183</v>
      </c>
      <c r="X14" s="2" t="s">
        <v>184</v>
      </c>
      <c r="Y14" s="2" t="s">
        <v>339</v>
      </c>
      <c r="Z14" s="2" t="s">
        <v>353</v>
      </c>
      <c r="AA14" s="2" t="s">
        <v>354</v>
      </c>
      <c r="AB14" s="2" t="s">
        <v>187</v>
      </c>
      <c r="AC14" s="2" t="s">
        <v>238</v>
      </c>
      <c r="AE14" s="2" t="s">
        <v>223</v>
      </c>
      <c r="AF14" s="2" t="s">
        <v>224</v>
      </c>
      <c r="AG14" s="2" t="s">
        <v>2</v>
      </c>
      <c r="AH14" s="2" t="s">
        <v>225</v>
      </c>
      <c r="AI14" s="2" t="s">
        <v>193</v>
      </c>
    </row>
    <row r="15" spans="1:35">
      <c r="A15" s="2" t="s">
        <v>355</v>
      </c>
      <c r="B15" s="2" t="s">
        <v>356</v>
      </c>
      <c r="C15" s="7" t="s">
        <v>357</v>
      </c>
      <c r="D15" s="7" t="s">
        <v>358</v>
      </c>
      <c r="E15" s="6" t="s">
        <v>359</v>
      </c>
      <c r="F15" s="7" t="s">
        <v>213</v>
      </c>
      <c r="G15" s="2" t="s">
        <v>360</v>
      </c>
      <c r="H15" s="2" t="s">
        <v>361</v>
      </c>
      <c r="I15" s="4" t="s">
        <v>362</v>
      </c>
      <c r="J15" s="7" t="s">
        <v>2</v>
      </c>
      <c r="K15" s="7" t="s">
        <v>217</v>
      </c>
      <c r="L15" s="2" t="s">
        <v>176</v>
      </c>
      <c r="M15" s="2" t="s">
        <v>111</v>
      </c>
      <c r="N15" s="2" t="s">
        <v>177</v>
      </c>
      <c r="O15" s="2" t="s">
        <v>363</v>
      </c>
      <c r="P15" s="2" t="s">
        <v>364</v>
      </c>
      <c r="Q15" s="2" t="s">
        <v>365</v>
      </c>
      <c r="R15" s="2" t="s">
        <v>181</v>
      </c>
      <c r="S15" s="2" t="s">
        <v>82</v>
      </c>
      <c r="T15" s="2" t="s">
        <v>366</v>
      </c>
      <c r="U15" s="2" t="s">
        <v>183</v>
      </c>
      <c r="V15" s="2" t="s">
        <v>183</v>
      </c>
      <c r="W15" s="2" t="s">
        <v>183</v>
      </c>
      <c r="X15" s="2" t="s">
        <v>205</v>
      </c>
      <c r="Y15" s="2" t="s">
        <v>184</v>
      </c>
      <c r="Z15" s="2" t="s">
        <v>367</v>
      </c>
      <c r="AA15" s="2" t="s">
        <v>368</v>
      </c>
      <c r="AC15" s="2" t="s">
        <v>369</v>
      </c>
      <c r="AE15" s="2" t="s">
        <v>370</v>
      </c>
      <c r="AF15" s="2" t="s">
        <v>371</v>
      </c>
      <c r="AG15" s="2" t="s">
        <v>2</v>
      </c>
      <c r="AH15" s="2" t="s">
        <v>372</v>
      </c>
      <c r="AI15" s="2" t="s">
        <v>193</v>
      </c>
    </row>
    <row r="16" spans="1:35">
      <c r="A16" s="2" t="s">
        <v>373</v>
      </c>
      <c r="B16" s="2" t="s">
        <v>374</v>
      </c>
      <c r="C16" s="7" t="s">
        <v>375</v>
      </c>
      <c r="D16" s="7" t="s">
        <v>376</v>
      </c>
      <c r="E16" s="6" t="s">
        <v>256</v>
      </c>
      <c r="F16" s="7" t="s">
        <v>213</v>
      </c>
      <c r="G16" s="2" t="s">
        <v>377</v>
      </c>
      <c r="H16" s="2" t="s">
        <v>378</v>
      </c>
      <c r="I16" s="4" t="s">
        <v>379</v>
      </c>
      <c r="J16" s="7" t="s">
        <v>2</v>
      </c>
      <c r="K16" s="7" t="s">
        <v>217</v>
      </c>
      <c r="L16" s="2" t="s">
        <v>176</v>
      </c>
      <c r="M16" s="2" t="s">
        <v>105</v>
      </c>
      <c r="N16" s="2" t="s">
        <v>177</v>
      </c>
      <c r="O16" s="2" t="s">
        <v>203</v>
      </c>
      <c r="P16" s="2" t="s">
        <v>179</v>
      </c>
      <c r="Q16" s="2" t="s">
        <v>380</v>
      </c>
      <c r="R16" s="2" t="s">
        <v>234</v>
      </c>
      <c r="S16" s="2" t="s">
        <v>84</v>
      </c>
      <c r="T16" s="2" t="s">
        <v>381</v>
      </c>
      <c r="U16" s="2" t="s">
        <v>183</v>
      </c>
      <c r="V16" s="2" t="s">
        <v>183</v>
      </c>
      <c r="W16" s="2" t="s">
        <v>183</v>
      </c>
      <c r="X16" s="2" t="s">
        <v>184</v>
      </c>
      <c r="Y16" s="2" t="s">
        <v>205</v>
      </c>
      <c r="Z16" s="2" t="s">
        <v>382</v>
      </c>
      <c r="AA16" s="2" t="s">
        <v>383</v>
      </c>
      <c r="AC16" s="2" t="s">
        <v>315</v>
      </c>
      <c r="AE16" s="2" t="s">
        <v>190</v>
      </c>
      <c r="AF16" s="2" t="s">
        <v>191</v>
      </c>
      <c r="AG16" s="2" t="s">
        <v>2</v>
      </c>
      <c r="AH16" s="2" t="s">
        <v>192</v>
      </c>
      <c r="AI16" s="2" t="s">
        <v>193</v>
      </c>
    </row>
    <row r="17" spans="1:35">
      <c r="A17" s="2" t="s">
        <v>384</v>
      </c>
      <c r="B17" s="2" t="s">
        <v>385</v>
      </c>
      <c r="C17" s="7" t="s">
        <v>386</v>
      </c>
      <c r="D17" s="7" t="s">
        <v>387</v>
      </c>
      <c r="E17" s="6" t="s">
        <v>388</v>
      </c>
      <c r="F17" s="7" t="s">
        <v>333</v>
      </c>
      <c r="G17" s="2" t="s">
        <v>389</v>
      </c>
      <c r="H17" s="2" t="s">
        <v>390</v>
      </c>
      <c r="I17" s="4" t="s">
        <v>391</v>
      </c>
      <c r="J17" s="7" t="s">
        <v>2</v>
      </c>
      <c r="K17" s="7" t="s">
        <v>217</v>
      </c>
      <c r="L17" s="2" t="s">
        <v>176</v>
      </c>
      <c r="M17" s="2" t="s">
        <v>111</v>
      </c>
      <c r="N17" s="2" t="s">
        <v>177</v>
      </c>
      <c r="O17" s="2" t="s">
        <v>203</v>
      </c>
      <c r="P17" s="2" t="s">
        <v>179</v>
      </c>
      <c r="Q17" s="2" t="s">
        <v>273</v>
      </c>
      <c r="R17" s="2" t="s">
        <v>181</v>
      </c>
      <c r="S17" s="2" t="s">
        <v>84</v>
      </c>
      <c r="T17" s="2" t="s">
        <v>392</v>
      </c>
      <c r="U17" s="2" t="s">
        <v>183</v>
      </c>
      <c r="V17" s="2" t="s">
        <v>183</v>
      </c>
      <c r="W17" s="2" t="s">
        <v>183</v>
      </c>
      <c r="X17" s="2" t="s">
        <v>184</v>
      </c>
      <c r="Y17" s="2" t="s">
        <v>205</v>
      </c>
      <c r="Z17" s="2" t="s">
        <v>393</v>
      </c>
      <c r="AA17" s="2" t="s">
        <v>394</v>
      </c>
      <c r="AC17" s="2" t="s">
        <v>301</v>
      </c>
      <c r="AE17" s="2" t="s">
        <v>223</v>
      </c>
      <c r="AF17" s="2" t="s">
        <v>224</v>
      </c>
      <c r="AG17" s="2" t="s">
        <v>2</v>
      </c>
      <c r="AH17" s="2" t="s">
        <v>225</v>
      </c>
      <c r="AI17" s="2" t="s">
        <v>342</v>
      </c>
    </row>
    <row r="18" spans="1:35">
      <c r="A18" s="2" t="s">
        <v>395</v>
      </c>
      <c r="B18" s="2" t="s">
        <v>396</v>
      </c>
      <c r="C18" s="4" t="s">
        <v>397</v>
      </c>
      <c r="D18" s="4" t="s">
        <v>398</v>
      </c>
      <c r="E18" s="2" t="s">
        <v>399</v>
      </c>
      <c r="F18" s="2" t="s">
        <v>400</v>
      </c>
      <c r="G18" s="2" t="s">
        <v>401</v>
      </c>
      <c r="H18" s="2" t="s">
        <v>402</v>
      </c>
      <c r="I18" s="4" t="s">
        <v>403</v>
      </c>
      <c r="J18" s="2" t="s">
        <v>2</v>
      </c>
      <c r="K18" s="2" t="s">
        <v>88</v>
      </c>
      <c r="L18" s="2" t="s">
        <v>404</v>
      </c>
      <c r="M18" s="2" t="s">
        <v>404</v>
      </c>
      <c r="N18" s="2" t="s">
        <v>177</v>
      </c>
      <c r="O18" s="2" t="s">
        <v>405</v>
      </c>
      <c r="P18" s="2" t="s">
        <v>404</v>
      </c>
      <c r="Q18" s="2" t="s">
        <v>406</v>
      </c>
      <c r="R18" s="2" t="s">
        <v>181</v>
      </c>
      <c r="S18" s="2" t="s">
        <v>86</v>
      </c>
      <c r="T18" s="2" t="s">
        <v>407</v>
      </c>
      <c r="U18" s="2" t="s">
        <v>183</v>
      </c>
      <c r="V18" s="2" t="s">
        <v>183</v>
      </c>
      <c r="W18" s="2" t="s">
        <v>183</v>
      </c>
      <c r="X18" s="2" t="s">
        <v>205</v>
      </c>
      <c r="Y18" s="2" t="s">
        <v>339</v>
      </c>
      <c r="Z18" s="2" t="s">
        <v>408</v>
      </c>
      <c r="AA18" s="2" t="s">
        <v>409</v>
      </c>
      <c r="AC18" s="2" t="s">
        <v>410</v>
      </c>
      <c r="AD18" s="2" t="s">
        <v>411</v>
      </c>
      <c r="AE18" s="2" t="s">
        <v>412</v>
      </c>
      <c r="AF18" s="2" t="s">
        <v>191</v>
      </c>
      <c r="AG18" s="2" t="s">
        <v>2</v>
      </c>
      <c r="AH18" s="2" t="s">
        <v>192</v>
      </c>
      <c r="AI18" s="2" t="s">
        <v>193</v>
      </c>
    </row>
    <row r="19" spans="1:35">
      <c r="A19" s="2" t="s">
        <v>413</v>
      </c>
      <c r="B19" s="2" t="s">
        <v>414</v>
      </c>
      <c r="C19" s="4" t="s">
        <v>415</v>
      </c>
      <c r="D19" s="4" t="s">
        <v>416</v>
      </c>
      <c r="E19" s="2" t="s">
        <v>417</v>
      </c>
      <c r="F19" s="2" t="s">
        <v>199</v>
      </c>
      <c r="G19" s="2" t="s">
        <v>418</v>
      </c>
      <c r="H19" s="2" t="s">
        <v>419</v>
      </c>
      <c r="I19" s="4" t="s">
        <v>420</v>
      </c>
      <c r="J19" s="2" t="s">
        <v>2</v>
      </c>
      <c r="K19" s="2" t="s">
        <v>88</v>
      </c>
      <c r="L19" s="2" t="s">
        <v>404</v>
      </c>
      <c r="M19" s="2" t="s">
        <v>404</v>
      </c>
      <c r="N19" s="2" t="s">
        <v>177</v>
      </c>
      <c r="O19" s="2" t="s">
        <v>405</v>
      </c>
      <c r="P19" s="2" t="s">
        <v>404</v>
      </c>
      <c r="Q19" s="2" t="s">
        <v>406</v>
      </c>
      <c r="R19" s="2" t="s">
        <v>181</v>
      </c>
      <c r="S19" s="2" t="s">
        <v>86</v>
      </c>
      <c r="T19" s="2" t="s">
        <v>421</v>
      </c>
      <c r="U19" s="2" t="s">
        <v>183</v>
      </c>
      <c r="V19" s="2" t="s">
        <v>183</v>
      </c>
      <c r="W19" s="2" t="s">
        <v>183</v>
      </c>
      <c r="X19" s="2" t="s">
        <v>205</v>
      </c>
      <c r="Y19" s="2" t="s">
        <v>339</v>
      </c>
      <c r="Z19" s="2" t="s">
        <v>422</v>
      </c>
      <c r="AA19" s="2" t="s">
        <v>423</v>
      </c>
      <c r="AC19" s="2" t="s">
        <v>424</v>
      </c>
      <c r="AD19" s="2" t="s">
        <v>411</v>
      </c>
      <c r="AE19" s="2" t="s">
        <v>412</v>
      </c>
      <c r="AF19" s="2" t="s">
        <v>191</v>
      </c>
      <c r="AG19" s="2" t="s">
        <v>2</v>
      </c>
      <c r="AH19" s="2" t="s">
        <v>192</v>
      </c>
      <c r="AI19" s="2" t="s">
        <v>193</v>
      </c>
    </row>
    <row r="20" spans="1:35">
      <c r="A20" s="2" t="s">
        <v>425</v>
      </c>
      <c r="B20" s="2" t="s">
        <v>426</v>
      </c>
      <c r="C20" s="7" t="s">
        <v>427</v>
      </c>
      <c r="D20" s="7" t="s">
        <v>428</v>
      </c>
      <c r="E20" s="6" t="s">
        <v>347</v>
      </c>
      <c r="F20" s="7" t="s">
        <v>213</v>
      </c>
      <c r="G20" s="2" t="s">
        <v>429</v>
      </c>
      <c r="H20" s="2" t="s">
        <v>430</v>
      </c>
      <c r="I20" s="4" t="s">
        <v>431</v>
      </c>
      <c r="J20" s="7" t="s">
        <v>2</v>
      </c>
      <c r="K20" s="7" t="s">
        <v>217</v>
      </c>
      <c r="L20" s="2" t="s">
        <v>404</v>
      </c>
      <c r="M20" s="2" t="s">
        <v>404</v>
      </c>
      <c r="N20" s="2" t="s">
        <v>177</v>
      </c>
      <c r="O20" s="2" t="s">
        <v>405</v>
      </c>
      <c r="P20" s="2" t="s">
        <v>404</v>
      </c>
      <c r="Q20" s="2" t="s">
        <v>406</v>
      </c>
      <c r="R20" s="2" t="s">
        <v>234</v>
      </c>
      <c r="S20" s="2" t="s">
        <v>86</v>
      </c>
      <c r="T20" s="2" t="s">
        <v>432</v>
      </c>
      <c r="U20" s="2" t="s">
        <v>183</v>
      </c>
      <c r="V20" s="2" t="s">
        <v>183</v>
      </c>
      <c r="W20" s="2" t="s">
        <v>183</v>
      </c>
      <c r="X20" s="2" t="s">
        <v>205</v>
      </c>
      <c r="Y20" s="2" t="s">
        <v>339</v>
      </c>
      <c r="Z20" s="2" t="s">
        <v>433</v>
      </c>
      <c r="AA20" s="2" t="s">
        <v>434</v>
      </c>
      <c r="AC20" s="2" t="s">
        <v>369</v>
      </c>
      <c r="AE20" s="2" t="s">
        <v>412</v>
      </c>
      <c r="AF20" s="2" t="s">
        <v>191</v>
      </c>
      <c r="AG20" s="2" t="s">
        <v>2</v>
      </c>
      <c r="AH20" s="2" t="s">
        <v>192</v>
      </c>
      <c r="AI20" s="2" t="s">
        <v>193</v>
      </c>
    </row>
    <row r="21" spans="1:35">
      <c r="A21" s="2" t="s">
        <v>435</v>
      </c>
      <c r="B21" s="2" t="s">
        <v>436</v>
      </c>
      <c r="C21" s="7" t="s">
        <v>437</v>
      </c>
      <c r="D21" s="7" t="s">
        <v>438</v>
      </c>
      <c r="E21" s="6" t="s">
        <v>439</v>
      </c>
      <c r="F21" s="7" t="s">
        <v>213</v>
      </c>
      <c r="G21" s="2" t="s">
        <v>440</v>
      </c>
      <c r="H21" s="2" t="s">
        <v>441</v>
      </c>
      <c r="I21" s="4" t="s">
        <v>442</v>
      </c>
      <c r="J21" s="7" t="s">
        <v>2</v>
      </c>
      <c r="K21" s="7" t="s">
        <v>217</v>
      </c>
      <c r="L21" s="2" t="s">
        <v>404</v>
      </c>
      <c r="M21" s="2" t="s">
        <v>404</v>
      </c>
      <c r="N21" s="2" t="s">
        <v>177</v>
      </c>
      <c r="O21" s="2" t="s">
        <v>405</v>
      </c>
      <c r="P21" s="2" t="s">
        <v>404</v>
      </c>
      <c r="Q21" s="2" t="s">
        <v>406</v>
      </c>
      <c r="R21" s="2" t="s">
        <v>234</v>
      </c>
      <c r="S21" s="2" t="s">
        <v>86</v>
      </c>
      <c r="T21" s="2" t="s">
        <v>443</v>
      </c>
      <c r="U21" s="2" t="s">
        <v>183</v>
      </c>
      <c r="V21" s="2" t="s">
        <v>183</v>
      </c>
      <c r="W21" s="2" t="s">
        <v>183</v>
      </c>
      <c r="X21" s="2" t="s">
        <v>205</v>
      </c>
      <c r="Y21" s="2" t="s">
        <v>339</v>
      </c>
      <c r="Z21" s="2" t="s">
        <v>444</v>
      </c>
      <c r="AA21" s="2" t="s">
        <v>445</v>
      </c>
      <c r="AC21" s="2" t="s">
        <v>446</v>
      </c>
      <c r="AD21" s="2" t="s">
        <v>447</v>
      </c>
      <c r="AE21" s="2" t="s">
        <v>412</v>
      </c>
      <c r="AF21" s="2" t="s">
        <v>191</v>
      </c>
      <c r="AG21" s="2" t="s">
        <v>2</v>
      </c>
      <c r="AH21" s="2" t="s">
        <v>192</v>
      </c>
      <c r="AI21" s="2" t="s">
        <v>193</v>
      </c>
    </row>
    <row r="22" spans="1:35">
      <c r="A22" s="2" t="s">
        <v>448</v>
      </c>
      <c r="B22" s="2" t="s">
        <v>449</v>
      </c>
      <c r="C22" s="4" t="s">
        <v>450</v>
      </c>
      <c r="D22" s="4" t="s">
        <v>451</v>
      </c>
      <c r="E22" s="2" t="s">
        <v>452</v>
      </c>
      <c r="F22" s="2" t="s">
        <v>453</v>
      </c>
      <c r="G22" s="2" t="s">
        <v>454</v>
      </c>
      <c r="H22" s="2" t="s">
        <v>455</v>
      </c>
      <c r="I22" s="4" t="s">
        <v>456</v>
      </c>
      <c r="J22" s="2" t="s">
        <v>2</v>
      </c>
      <c r="K22" s="2" t="s">
        <v>88</v>
      </c>
      <c r="L22" s="2">
        <v>1</v>
      </c>
      <c r="M22" s="2" t="s">
        <v>130</v>
      </c>
      <c r="N22" s="2" t="s">
        <v>177</v>
      </c>
      <c r="O22" s="2" t="s">
        <v>363</v>
      </c>
      <c r="P22" s="2" t="s">
        <v>364</v>
      </c>
      <c r="Q22" s="2" t="s">
        <v>457</v>
      </c>
      <c r="R22" s="2" t="s">
        <v>181</v>
      </c>
      <c r="S22" s="2" t="s">
        <v>82</v>
      </c>
      <c r="T22" s="2" t="s">
        <v>458</v>
      </c>
      <c r="U22" s="2" t="s">
        <v>183</v>
      </c>
      <c r="V22" s="2" t="s">
        <v>183</v>
      </c>
      <c r="W22" s="2" t="s">
        <v>183</v>
      </c>
      <c r="X22" s="2" t="s">
        <v>205</v>
      </c>
      <c r="Y22" s="2" t="s">
        <v>184</v>
      </c>
      <c r="Z22" s="2" t="s">
        <v>459</v>
      </c>
      <c r="AA22" s="2" t="s">
        <v>460</v>
      </c>
      <c r="AB22" s="2" t="s">
        <v>461</v>
      </c>
      <c r="AC22" s="2" t="s">
        <v>462</v>
      </c>
      <c r="AD22" s="2" t="s">
        <v>463</v>
      </c>
      <c r="AE22" s="2" t="s">
        <v>370</v>
      </c>
      <c r="AF22" s="2" t="s">
        <v>371</v>
      </c>
      <c r="AG22" s="2" t="s">
        <v>2</v>
      </c>
      <c r="AH22" s="2" t="s">
        <v>372</v>
      </c>
      <c r="AI22" s="2" t="s">
        <v>193</v>
      </c>
    </row>
    <row r="23" spans="1:35">
      <c r="A23" s="2" t="s">
        <v>464</v>
      </c>
      <c r="B23" s="2" t="s">
        <v>465</v>
      </c>
      <c r="C23" s="7" t="s">
        <v>466</v>
      </c>
      <c r="D23" s="7" t="s">
        <v>467</v>
      </c>
      <c r="E23" s="6" t="s">
        <v>468</v>
      </c>
      <c r="F23" s="7" t="s">
        <v>213</v>
      </c>
      <c r="G23" s="2" t="s">
        <v>469</v>
      </c>
      <c r="H23" s="2" t="s">
        <v>470</v>
      </c>
      <c r="I23" s="4" t="s">
        <v>471</v>
      </c>
      <c r="J23" s="7" t="s">
        <v>2</v>
      </c>
      <c r="K23" s="7" t="s">
        <v>217</v>
      </c>
      <c r="L23" s="2">
        <v>10</v>
      </c>
      <c r="M23" s="2" t="s">
        <v>130</v>
      </c>
      <c r="N23" s="2" t="s">
        <v>218</v>
      </c>
      <c r="O23" s="2" t="s">
        <v>472</v>
      </c>
      <c r="P23" s="2" t="s">
        <v>364</v>
      </c>
      <c r="Q23" s="2" t="s">
        <v>457</v>
      </c>
      <c r="R23" s="2" t="s">
        <v>181</v>
      </c>
      <c r="S23" s="2" t="s">
        <v>82</v>
      </c>
      <c r="T23" s="2" t="s">
        <v>473</v>
      </c>
      <c r="U23" s="2" t="s">
        <v>183</v>
      </c>
      <c r="V23" s="2" t="s">
        <v>183</v>
      </c>
      <c r="W23" s="2" t="s">
        <v>183</v>
      </c>
      <c r="X23" s="2" t="s">
        <v>339</v>
      </c>
      <c r="Y23" s="2" t="s">
        <v>184</v>
      </c>
      <c r="Z23" s="2" t="s">
        <v>474</v>
      </c>
      <c r="AA23" s="2" t="s">
        <v>475</v>
      </c>
      <c r="AB23" s="2" t="s">
        <v>476</v>
      </c>
      <c r="AC23" s="2" t="s">
        <v>477</v>
      </c>
      <c r="AD23" s="2" t="s">
        <v>478</v>
      </c>
      <c r="AE23" s="2" t="s">
        <v>370</v>
      </c>
      <c r="AF23" s="2" t="s">
        <v>371</v>
      </c>
      <c r="AG23" s="2" t="s">
        <v>2</v>
      </c>
      <c r="AH23" s="2" t="s">
        <v>372</v>
      </c>
      <c r="AI23" s="2" t="s">
        <v>193</v>
      </c>
    </row>
    <row r="24" spans="1:35">
      <c r="A24" s="2" t="s">
        <v>479</v>
      </c>
      <c r="B24" s="2" t="s">
        <v>480</v>
      </c>
      <c r="C24" s="7" t="s">
        <v>481</v>
      </c>
      <c r="D24" s="7" t="s">
        <v>482</v>
      </c>
      <c r="E24" s="6" t="s">
        <v>483</v>
      </c>
      <c r="F24" s="7" t="s">
        <v>484</v>
      </c>
      <c r="G24" s="2" t="s">
        <v>485</v>
      </c>
      <c r="H24" s="2" t="s">
        <v>486</v>
      </c>
      <c r="I24" s="4" t="s">
        <v>487</v>
      </c>
      <c r="J24" s="7" t="s">
        <v>2</v>
      </c>
      <c r="K24" s="7" t="s">
        <v>217</v>
      </c>
      <c r="L24" s="2">
        <v>1</v>
      </c>
      <c r="M24" s="2" t="s">
        <v>130</v>
      </c>
      <c r="N24" s="2" t="s">
        <v>218</v>
      </c>
      <c r="O24" s="2" t="s">
        <v>363</v>
      </c>
      <c r="P24" s="2" t="s">
        <v>364</v>
      </c>
      <c r="Q24" s="2" t="s">
        <v>457</v>
      </c>
      <c r="R24" s="2" t="s">
        <v>181</v>
      </c>
      <c r="S24" s="2" t="s">
        <v>84</v>
      </c>
      <c r="T24" s="2" t="s">
        <v>488</v>
      </c>
      <c r="U24" s="2" t="s">
        <v>183</v>
      </c>
      <c r="V24" s="2" t="s">
        <v>183</v>
      </c>
      <c r="W24" s="2" t="s">
        <v>183</v>
      </c>
      <c r="X24" s="2" t="s">
        <v>339</v>
      </c>
      <c r="Y24" s="2" t="s">
        <v>184</v>
      </c>
      <c r="Z24" s="2" t="s">
        <v>489</v>
      </c>
      <c r="AA24" s="2" t="s">
        <v>490</v>
      </c>
      <c r="AB24" s="2" t="s">
        <v>491</v>
      </c>
      <c r="AC24" s="2" t="s">
        <v>492</v>
      </c>
      <c r="AE24" s="2" t="s">
        <v>370</v>
      </c>
      <c r="AF24" s="2" t="s">
        <v>371</v>
      </c>
      <c r="AG24" s="2" t="s">
        <v>2</v>
      </c>
      <c r="AH24" s="2" t="s">
        <v>372</v>
      </c>
      <c r="AI24" s="2" t="s">
        <v>193</v>
      </c>
    </row>
    <row r="25" spans="1:35">
      <c r="A25" s="2" t="s">
        <v>493</v>
      </c>
      <c r="B25" s="2" t="s">
        <v>494</v>
      </c>
      <c r="C25" s="7" t="s">
        <v>495</v>
      </c>
      <c r="D25" s="7" t="s">
        <v>496</v>
      </c>
      <c r="E25" s="6" t="s">
        <v>497</v>
      </c>
      <c r="F25" s="7" t="s">
        <v>498</v>
      </c>
      <c r="G25" s="2" t="s">
        <v>499</v>
      </c>
      <c r="H25" s="2" t="s">
        <v>500</v>
      </c>
      <c r="I25" s="4" t="s">
        <v>501</v>
      </c>
      <c r="J25" s="7" t="s">
        <v>2</v>
      </c>
      <c r="K25" s="7" t="s">
        <v>217</v>
      </c>
      <c r="L25" s="2">
        <v>1</v>
      </c>
      <c r="M25" s="2" t="s">
        <v>130</v>
      </c>
      <c r="N25" s="2" t="s">
        <v>218</v>
      </c>
      <c r="O25" s="2" t="s">
        <v>363</v>
      </c>
      <c r="P25" s="2" t="s">
        <v>219</v>
      </c>
      <c r="Q25" s="2" t="s">
        <v>457</v>
      </c>
      <c r="R25" s="2" t="s">
        <v>181</v>
      </c>
      <c r="S25" s="2" t="s">
        <v>84</v>
      </c>
      <c r="T25" s="2" t="s">
        <v>502</v>
      </c>
      <c r="U25" s="2" t="s">
        <v>183</v>
      </c>
      <c r="V25" s="2" t="s">
        <v>183</v>
      </c>
      <c r="W25" s="2" t="s">
        <v>183</v>
      </c>
      <c r="X25" s="2" t="s">
        <v>339</v>
      </c>
      <c r="Y25" s="2" t="s">
        <v>184</v>
      </c>
      <c r="Z25" s="2" t="s">
        <v>503</v>
      </c>
      <c r="AA25" s="2" t="s">
        <v>504</v>
      </c>
      <c r="AB25" s="2" t="s">
        <v>476</v>
      </c>
      <c r="AC25" s="2" t="s">
        <v>462</v>
      </c>
      <c r="AE25" s="2" t="s">
        <v>223</v>
      </c>
      <c r="AF25" s="2" t="s">
        <v>224</v>
      </c>
      <c r="AG25" s="2" t="s">
        <v>2</v>
      </c>
      <c r="AH25" s="2" t="s">
        <v>225</v>
      </c>
      <c r="AI25" s="2" t="s">
        <v>193</v>
      </c>
    </row>
    <row r="26" spans="1:35">
      <c r="A26" s="2" t="s">
        <v>505</v>
      </c>
      <c r="B26" s="2" t="s">
        <v>506</v>
      </c>
      <c r="C26" s="7" t="s">
        <v>507</v>
      </c>
      <c r="D26" s="7" t="s">
        <v>508</v>
      </c>
      <c r="E26" s="6" t="s">
        <v>388</v>
      </c>
      <c r="F26" s="7" t="s">
        <v>333</v>
      </c>
      <c r="G26" s="2" t="s">
        <v>509</v>
      </c>
      <c r="H26" s="2" t="s">
        <v>510</v>
      </c>
      <c r="I26" s="4" t="s">
        <v>511</v>
      </c>
      <c r="J26" s="7" t="s">
        <v>2</v>
      </c>
      <c r="K26" s="7" t="s">
        <v>217</v>
      </c>
      <c r="L26" s="2">
        <v>1</v>
      </c>
      <c r="M26" s="2" t="s">
        <v>130</v>
      </c>
      <c r="N26" s="2" t="s">
        <v>177</v>
      </c>
      <c r="O26" s="2" t="s">
        <v>512</v>
      </c>
      <c r="P26" s="2" t="s">
        <v>364</v>
      </c>
      <c r="Q26" s="2" t="s">
        <v>457</v>
      </c>
      <c r="R26" s="2" t="s">
        <v>181</v>
      </c>
      <c r="S26" s="2" t="s">
        <v>82</v>
      </c>
      <c r="T26" s="2" t="s">
        <v>513</v>
      </c>
      <c r="U26" s="2" t="s">
        <v>183</v>
      </c>
      <c r="V26" s="2" t="s">
        <v>183</v>
      </c>
      <c r="W26" s="2" t="s">
        <v>183</v>
      </c>
      <c r="X26" s="2" t="s">
        <v>339</v>
      </c>
      <c r="Y26" s="2" t="s">
        <v>184</v>
      </c>
      <c r="Z26" s="2" t="s">
        <v>514</v>
      </c>
      <c r="AA26" s="2" t="s">
        <v>515</v>
      </c>
      <c r="AB26" s="2" t="s">
        <v>516</v>
      </c>
      <c r="AC26" s="2" t="s">
        <v>462</v>
      </c>
      <c r="AE26" s="2" t="s">
        <v>370</v>
      </c>
      <c r="AF26" s="2" t="s">
        <v>371</v>
      </c>
      <c r="AG26" s="2" t="s">
        <v>2</v>
      </c>
      <c r="AH26" s="2" t="s">
        <v>372</v>
      </c>
      <c r="AI26" s="2" t="s">
        <v>342</v>
      </c>
    </row>
    <row r="27" spans="1:35">
      <c r="A27" s="2" t="s">
        <v>517</v>
      </c>
      <c r="B27" s="2" t="s">
        <v>518</v>
      </c>
      <c r="C27" s="7" t="s">
        <v>519</v>
      </c>
      <c r="D27" s="7" t="s">
        <v>520</v>
      </c>
      <c r="E27" s="6" t="s">
        <v>388</v>
      </c>
      <c r="F27" s="7" t="s">
        <v>333</v>
      </c>
      <c r="G27" s="2" t="s">
        <v>521</v>
      </c>
      <c r="H27" s="2" t="s">
        <v>522</v>
      </c>
      <c r="I27" s="4" t="s">
        <v>523</v>
      </c>
      <c r="J27" s="7" t="s">
        <v>2</v>
      </c>
      <c r="K27" s="7" t="s">
        <v>217</v>
      </c>
      <c r="L27" s="2">
        <v>1</v>
      </c>
      <c r="M27" s="2" t="s">
        <v>130</v>
      </c>
      <c r="N27" s="2" t="s">
        <v>177</v>
      </c>
      <c r="O27" s="2" t="s">
        <v>178</v>
      </c>
      <c r="P27" s="2" t="s">
        <v>364</v>
      </c>
      <c r="Q27" s="2" t="s">
        <v>457</v>
      </c>
      <c r="R27" s="2" t="s">
        <v>181</v>
      </c>
      <c r="S27" s="2" t="s">
        <v>84</v>
      </c>
      <c r="T27" s="2" t="s">
        <v>524</v>
      </c>
      <c r="U27" s="2" t="s">
        <v>183</v>
      </c>
      <c r="V27" s="2" t="s">
        <v>183</v>
      </c>
      <c r="W27" s="2" t="s">
        <v>183</v>
      </c>
      <c r="X27" s="2" t="s">
        <v>339</v>
      </c>
      <c r="Y27" s="2" t="s">
        <v>184</v>
      </c>
      <c r="Z27" s="2" t="s">
        <v>525</v>
      </c>
      <c r="AA27" s="2" t="s">
        <v>526</v>
      </c>
      <c r="AB27" s="2" t="s">
        <v>476</v>
      </c>
      <c r="AC27" s="2" t="s">
        <v>315</v>
      </c>
      <c r="AE27" s="2" t="s">
        <v>370</v>
      </c>
      <c r="AF27" s="2" t="s">
        <v>371</v>
      </c>
      <c r="AG27" s="2" t="s">
        <v>2</v>
      </c>
      <c r="AH27" s="2" t="s">
        <v>372</v>
      </c>
      <c r="AI27" s="2" t="s">
        <v>342</v>
      </c>
    </row>
    <row r="28" spans="1:35">
      <c r="A28" s="2" t="s">
        <v>527</v>
      </c>
      <c r="B28" s="2" t="s">
        <v>528</v>
      </c>
      <c r="C28" s="7" t="s">
        <v>529</v>
      </c>
      <c r="D28" s="7" t="s">
        <v>530</v>
      </c>
      <c r="E28" s="6" t="s">
        <v>531</v>
      </c>
      <c r="F28" s="7" t="s">
        <v>213</v>
      </c>
      <c r="G28" s="2" t="s">
        <v>532</v>
      </c>
      <c r="H28" s="2" t="s">
        <v>533</v>
      </c>
      <c r="I28" s="4" t="s">
        <v>534</v>
      </c>
      <c r="J28" s="7" t="s">
        <v>2</v>
      </c>
      <c r="K28" s="7" t="s">
        <v>217</v>
      </c>
      <c r="L28" s="2">
        <v>1</v>
      </c>
      <c r="M28" s="2" t="s">
        <v>130</v>
      </c>
      <c r="N28" s="2" t="s">
        <v>177</v>
      </c>
      <c r="O28" s="2" t="s">
        <v>535</v>
      </c>
      <c r="P28" s="2" t="s">
        <v>364</v>
      </c>
      <c r="Q28" s="2" t="s">
        <v>457</v>
      </c>
      <c r="R28" s="2" t="s">
        <v>181</v>
      </c>
      <c r="S28" s="2" t="s">
        <v>82</v>
      </c>
      <c r="T28" s="2" t="s">
        <v>536</v>
      </c>
      <c r="U28" s="2" t="s">
        <v>183</v>
      </c>
      <c r="V28" s="2" t="s">
        <v>183</v>
      </c>
      <c r="W28" s="2" t="s">
        <v>183</v>
      </c>
      <c r="X28" s="2" t="s">
        <v>205</v>
      </c>
      <c r="Y28" s="2" t="s">
        <v>184</v>
      </c>
      <c r="Z28" s="2" t="s">
        <v>537</v>
      </c>
      <c r="AA28" s="2" t="s">
        <v>538</v>
      </c>
      <c r="AB28" s="2" t="s">
        <v>187</v>
      </c>
      <c r="AC28" s="2" t="s">
        <v>539</v>
      </c>
      <c r="AD28" s="2" t="s">
        <v>540</v>
      </c>
      <c r="AE28" s="2" t="s">
        <v>370</v>
      </c>
      <c r="AF28" s="2" t="s">
        <v>371</v>
      </c>
      <c r="AG28" s="2" t="s">
        <v>2</v>
      </c>
      <c r="AH28" s="2" t="s">
        <v>372</v>
      </c>
      <c r="AI28" s="2" t="s">
        <v>193</v>
      </c>
    </row>
    <row r="29" spans="1:35">
      <c r="A29" s="2" t="s">
        <v>541</v>
      </c>
      <c r="B29" s="2" t="s">
        <v>542</v>
      </c>
      <c r="C29" s="7" t="s">
        <v>543</v>
      </c>
      <c r="D29" s="7" t="s">
        <v>544</v>
      </c>
      <c r="E29" s="6" t="s">
        <v>531</v>
      </c>
      <c r="F29" s="7" t="s">
        <v>213</v>
      </c>
      <c r="G29" s="2" t="s">
        <v>545</v>
      </c>
      <c r="H29" s="2" t="s">
        <v>546</v>
      </c>
      <c r="I29" s="4" t="s">
        <v>547</v>
      </c>
      <c r="J29" s="7" t="s">
        <v>2</v>
      </c>
      <c r="K29" s="7" t="s">
        <v>217</v>
      </c>
      <c r="L29" s="2">
        <v>1</v>
      </c>
      <c r="M29" s="2" t="s">
        <v>130</v>
      </c>
      <c r="N29" s="2" t="s">
        <v>177</v>
      </c>
      <c r="O29" s="2" t="s">
        <v>548</v>
      </c>
      <c r="P29" s="2" t="s">
        <v>364</v>
      </c>
      <c r="Q29" s="2" t="s">
        <v>549</v>
      </c>
      <c r="R29" s="2" t="s">
        <v>181</v>
      </c>
      <c r="S29" s="2" t="s">
        <v>82</v>
      </c>
      <c r="T29" s="2" t="s">
        <v>550</v>
      </c>
      <c r="U29" s="2" t="s">
        <v>183</v>
      </c>
      <c r="V29" s="2" t="s">
        <v>183</v>
      </c>
      <c r="W29" s="2" t="s">
        <v>183</v>
      </c>
      <c r="X29" s="2" t="s">
        <v>339</v>
      </c>
      <c r="Y29" s="2" t="s">
        <v>184</v>
      </c>
      <c r="Z29" s="2" t="s">
        <v>551</v>
      </c>
      <c r="AA29" s="2" t="s">
        <v>552</v>
      </c>
      <c r="AB29" s="2" t="s">
        <v>461</v>
      </c>
      <c r="AC29" s="2" t="s">
        <v>462</v>
      </c>
      <c r="AE29" s="2" t="s">
        <v>370</v>
      </c>
      <c r="AF29" s="2" t="s">
        <v>371</v>
      </c>
      <c r="AG29" s="2" t="s">
        <v>2</v>
      </c>
      <c r="AH29" s="2" t="s">
        <v>372</v>
      </c>
      <c r="AI29" s="2" t="s">
        <v>193</v>
      </c>
    </row>
    <row r="30" spans="1:35">
      <c r="A30" s="2" t="s">
        <v>553</v>
      </c>
      <c r="B30" s="2" t="s">
        <v>554</v>
      </c>
      <c r="C30" s="7" t="s">
        <v>555</v>
      </c>
      <c r="D30" s="7" t="s">
        <v>556</v>
      </c>
      <c r="E30" s="6" t="s">
        <v>388</v>
      </c>
      <c r="F30" s="7" t="s">
        <v>333</v>
      </c>
      <c r="G30" s="2" t="s">
        <v>557</v>
      </c>
      <c r="H30" s="2" t="s">
        <v>558</v>
      </c>
      <c r="I30" s="4" t="s">
        <v>559</v>
      </c>
      <c r="J30" s="7" t="s">
        <v>2</v>
      </c>
      <c r="K30" s="7" t="s">
        <v>217</v>
      </c>
      <c r="L30" s="2">
        <v>1</v>
      </c>
      <c r="M30" s="2" t="s">
        <v>130</v>
      </c>
      <c r="N30" s="2" t="s">
        <v>177</v>
      </c>
      <c r="O30" s="2" t="s">
        <v>178</v>
      </c>
      <c r="P30" s="2" t="s">
        <v>364</v>
      </c>
      <c r="Q30" s="2" t="s">
        <v>560</v>
      </c>
      <c r="R30" s="2" t="s">
        <v>181</v>
      </c>
      <c r="S30" s="2" t="s">
        <v>84</v>
      </c>
      <c r="T30" s="2" t="s">
        <v>561</v>
      </c>
      <c r="U30" s="2" t="s">
        <v>183</v>
      </c>
      <c r="V30" s="2" t="s">
        <v>183</v>
      </c>
      <c r="W30" s="2" t="s">
        <v>183</v>
      </c>
      <c r="X30" s="2" t="s">
        <v>339</v>
      </c>
      <c r="Y30" s="2" t="s">
        <v>184</v>
      </c>
      <c r="Z30" s="2" t="s">
        <v>562</v>
      </c>
      <c r="AA30" s="2" t="s">
        <v>563</v>
      </c>
      <c r="AB30" s="2" t="s">
        <v>516</v>
      </c>
      <c r="AC30" s="2" t="s">
        <v>462</v>
      </c>
      <c r="AE30" s="2" t="s">
        <v>370</v>
      </c>
      <c r="AF30" s="2" t="s">
        <v>371</v>
      </c>
      <c r="AG30" s="2" t="s">
        <v>2</v>
      </c>
      <c r="AH30" s="2" t="s">
        <v>372</v>
      </c>
      <c r="AI30" s="2" t="s">
        <v>342</v>
      </c>
    </row>
    <row r="31" spans="1:35">
      <c r="A31" s="2" t="s">
        <v>564</v>
      </c>
      <c r="B31" s="2" t="s">
        <v>565</v>
      </c>
      <c r="C31" s="7" t="s">
        <v>566</v>
      </c>
      <c r="D31" s="7" t="s">
        <v>567</v>
      </c>
      <c r="E31" s="6" t="s">
        <v>388</v>
      </c>
      <c r="F31" s="7" t="s">
        <v>333</v>
      </c>
      <c r="G31" s="2" t="s">
        <v>557</v>
      </c>
      <c r="H31" s="2" t="s">
        <v>568</v>
      </c>
      <c r="I31" s="4" t="s">
        <v>569</v>
      </c>
      <c r="J31" s="7" t="s">
        <v>2</v>
      </c>
      <c r="K31" s="7" t="s">
        <v>217</v>
      </c>
      <c r="L31" s="2">
        <v>1</v>
      </c>
      <c r="M31" s="2" t="s">
        <v>132</v>
      </c>
      <c r="N31" s="2" t="s">
        <v>177</v>
      </c>
      <c r="O31" s="2" t="s">
        <v>570</v>
      </c>
      <c r="P31" s="2" t="s">
        <v>364</v>
      </c>
      <c r="Q31" s="2" t="s">
        <v>560</v>
      </c>
      <c r="R31" s="2" t="s">
        <v>181</v>
      </c>
      <c r="S31" s="2" t="s">
        <v>82</v>
      </c>
      <c r="T31" s="2" t="s">
        <v>571</v>
      </c>
      <c r="U31" s="2" t="s">
        <v>183</v>
      </c>
      <c r="V31" s="2" t="s">
        <v>183</v>
      </c>
      <c r="W31" s="2" t="s">
        <v>183</v>
      </c>
      <c r="X31" s="2" t="s">
        <v>339</v>
      </c>
      <c r="Y31" s="2" t="s">
        <v>184</v>
      </c>
      <c r="Z31" s="2" t="s">
        <v>572</v>
      </c>
      <c r="AA31" s="2" t="s">
        <v>573</v>
      </c>
      <c r="AB31" s="2" t="s">
        <v>574</v>
      </c>
      <c r="AC31" s="2" t="s">
        <v>462</v>
      </c>
      <c r="AE31" s="2" t="s">
        <v>370</v>
      </c>
      <c r="AF31" s="2" t="s">
        <v>371</v>
      </c>
      <c r="AG31" s="2" t="s">
        <v>2</v>
      </c>
      <c r="AH31" s="2" t="s">
        <v>372</v>
      </c>
      <c r="AI31" s="2" t="s">
        <v>342</v>
      </c>
    </row>
    <row r="32" spans="1:35">
      <c r="A32" s="2" t="s">
        <v>575</v>
      </c>
      <c r="B32" s="2" t="s">
        <v>576</v>
      </c>
      <c r="C32" s="7" t="s">
        <v>577</v>
      </c>
      <c r="D32" s="7" t="s">
        <v>578</v>
      </c>
      <c r="E32" s="6" t="s">
        <v>531</v>
      </c>
      <c r="F32" s="7" t="s">
        <v>213</v>
      </c>
      <c r="G32" s="2" t="s">
        <v>579</v>
      </c>
      <c r="H32" s="2" t="s">
        <v>580</v>
      </c>
      <c r="I32" s="4" t="s">
        <v>581</v>
      </c>
      <c r="J32" s="7" t="s">
        <v>2</v>
      </c>
      <c r="K32" s="7" t="s">
        <v>217</v>
      </c>
      <c r="L32" s="2">
        <v>1</v>
      </c>
      <c r="M32" s="2" t="s">
        <v>132</v>
      </c>
      <c r="N32" s="2" t="s">
        <v>218</v>
      </c>
      <c r="O32" s="2" t="s">
        <v>582</v>
      </c>
      <c r="P32" s="2" t="s">
        <v>364</v>
      </c>
      <c r="Q32" s="2" t="s">
        <v>583</v>
      </c>
      <c r="R32" s="2" t="s">
        <v>181</v>
      </c>
      <c r="S32" s="2" t="s">
        <v>84</v>
      </c>
      <c r="T32" s="2" t="s">
        <v>584</v>
      </c>
      <c r="U32" s="2" t="s">
        <v>183</v>
      </c>
      <c r="V32" s="2" t="s">
        <v>183</v>
      </c>
      <c r="W32" s="2" t="s">
        <v>183</v>
      </c>
      <c r="X32" s="2" t="s">
        <v>339</v>
      </c>
      <c r="Y32" s="2" t="s">
        <v>184</v>
      </c>
      <c r="Z32" s="2" t="s">
        <v>585</v>
      </c>
      <c r="AA32" s="2" t="s">
        <v>586</v>
      </c>
      <c r="AB32" s="2" t="s">
        <v>461</v>
      </c>
      <c r="AC32" s="2" t="s">
        <v>327</v>
      </c>
      <c r="AE32" s="2" t="s">
        <v>370</v>
      </c>
      <c r="AF32" s="2" t="s">
        <v>371</v>
      </c>
      <c r="AG32" s="2" t="s">
        <v>2</v>
      </c>
      <c r="AH32" s="2" t="s">
        <v>372</v>
      </c>
      <c r="AI32" s="2" t="s">
        <v>193</v>
      </c>
    </row>
    <row r="33" spans="1:35">
      <c r="A33" s="2" t="s">
        <v>587</v>
      </c>
      <c r="B33" s="2" t="s">
        <v>588</v>
      </c>
      <c r="C33" s="7" t="s">
        <v>589</v>
      </c>
      <c r="D33" s="7" t="s">
        <v>590</v>
      </c>
      <c r="E33" s="6" t="s">
        <v>591</v>
      </c>
      <c r="F33" s="7" t="s">
        <v>213</v>
      </c>
      <c r="G33" s="2" t="s">
        <v>592</v>
      </c>
      <c r="H33" s="2" t="s">
        <v>593</v>
      </c>
      <c r="I33" s="4" t="s">
        <v>594</v>
      </c>
      <c r="J33" s="7" t="s">
        <v>2</v>
      </c>
      <c r="K33" s="7" t="s">
        <v>217</v>
      </c>
      <c r="L33" s="2">
        <v>1</v>
      </c>
      <c r="M33" s="2" t="s">
        <v>132</v>
      </c>
      <c r="N33" s="2" t="s">
        <v>218</v>
      </c>
      <c r="O33" s="2" t="s">
        <v>595</v>
      </c>
      <c r="P33" s="2" t="s">
        <v>179</v>
      </c>
      <c r="Q33" s="2" t="s">
        <v>596</v>
      </c>
      <c r="R33" s="2" t="s">
        <v>181</v>
      </c>
      <c r="S33" s="2" t="s">
        <v>84</v>
      </c>
      <c r="T33" s="2" t="s">
        <v>597</v>
      </c>
      <c r="U33" s="2" t="s">
        <v>183</v>
      </c>
      <c r="V33" s="2" t="s">
        <v>183</v>
      </c>
      <c r="W33" s="2" t="s">
        <v>183</v>
      </c>
      <c r="X33" s="2" t="s">
        <v>339</v>
      </c>
      <c r="Y33" s="2" t="s">
        <v>205</v>
      </c>
      <c r="Z33" s="2" t="s">
        <v>598</v>
      </c>
      <c r="AA33" s="2" t="s">
        <v>599</v>
      </c>
      <c r="AB33" s="2" t="s">
        <v>574</v>
      </c>
      <c r="AC33" s="2" t="s">
        <v>315</v>
      </c>
      <c r="AE33" s="2" t="s">
        <v>190</v>
      </c>
      <c r="AF33" s="2" t="s">
        <v>191</v>
      </c>
      <c r="AG33" s="2" t="s">
        <v>2</v>
      </c>
      <c r="AH33" s="2" t="s">
        <v>192</v>
      </c>
      <c r="AI33" s="2" t="s">
        <v>193</v>
      </c>
    </row>
    <row r="34" spans="1:35">
      <c r="A34" s="2" t="s">
        <v>600</v>
      </c>
      <c r="B34" s="2" t="s">
        <v>601</v>
      </c>
      <c r="C34" s="7" t="s">
        <v>602</v>
      </c>
      <c r="D34" s="7" t="s">
        <v>603</v>
      </c>
      <c r="E34" s="6" t="s">
        <v>388</v>
      </c>
      <c r="F34" s="7" t="s">
        <v>333</v>
      </c>
      <c r="G34" s="2" t="s">
        <v>604</v>
      </c>
      <c r="H34" s="2" t="s">
        <v>605</v>
      </c>
      <c r="I34" s="4" t="s">
        <v>606</v>
      </c>
      <c r="J34" s="7" t="s">
        <v>2</v>
      </c>
      <c r="K34" s="7" t="s">
        <v>217</v>
      </c>
      <c r="L34" s="2">
        <v>1</v>
      </c>
      <c r="M34" s="2" t="s">
        <v>132</v>
      </c>
      <c r="N34" s="2" t="s">
        <v>218</v>
      </c>
      <c r="O34" s="2" t="s">
        <v>607</v>
      </c>
      <c r="P34" s="2" t="s">
        <v>364</v>
      </c>
      <c r="Q34" s="2" t="s">
        <v>457</v>
      </c>
      <c r="R34" s="2" t="s">
        <v>181</v>
      </c>
      <c r="S34" s="2" t="s">
        <v>84</v>
      </c>
      <c r="T34" s="2" t="s">
        <v>608</v>
      </c>
      <c r="U34" s="2" t="s">
        <v>183</v>
      </c>
      <c r="V34" s="2" t="s">
        <v>183</v>
      </c>
      <c r="W34" s="2" t="s">
        <v>183</v>
      </c>
      <c r="X34" s="2" t="s">
        <v>339</v>
      </c>
      <c r="Y34" s="2" t="s">
        <v>184</v>
      </c>
      <c r="Z34" s="2" t="s">
        <v>609</v>
      </c>
      <c r="AA34" s="2" t="s">
        <v>610</v>
      </c>
      <c r="AB34" s="2" t="s">
        <v>516</v>
      </c>
      <c r="AC34" s="2" t="s">
        <v>611</v>
      </c>
      <c r="AE34" s="2" t="s">
        <v>370</v>
      </c>
      <c r="AF34" s="2" t="s">
        <v>371</v>
      </c>
      <c r="AG34" s="2" t="s">
        <v>2</v>
      </c>
      <c r="AH34" s="2" t="s">
        <v>372</v>
      </c>
      <c r="AI34" s="2" t="s">
        <v>342</v>
      </c>
    </row>
    <row r="35" spans="1:35">
      <c r="A35" s="2" t="s">
        <v>612</v>
      </c>
      <c r="B35" s="2" t="s">
        <v>613</v>
      </c>
      <c r="C35" s="7" t="s">
        <v>614</v>
      </c>
      <c r="D35" s="7" t="s">
        <v>615</v>
      </c>
      <c r="E35" s="6" t="s">
        <v>388</v>
      </c>
      <c r="F35" s="7" t="s">
        <v>333</v>
      </c>
      <c r="G35" s="2" t="s">
        <v>604</v>
      </c>
      <c r="H35" s="2" t="s">
        <v>616</v>
      </c>
      <c r="I35" s="4" t="s">
        <v>617</v>
      </c>
      <c r="J35" s="7" t="s">
        <v>2</v>
      </c>
      <c r="K35" s="7" t="s">
        <v>217</v>
      </c>
      <c r="L35" s="2">
        <v>1</v>
      </c>
      <c r="M35" s="2" t="s">
        <v>130</v>
      </c>
      <c r="N35" s="2" t="s">
        <v>218</v>
      </c>
      <c r="O35" s="2" t="s">
        <v>618</v>
      </c>
      <c r="P35" s="2" t="s">
        <v>219</v>
      </c>
      <c r="Q35" s="2" t="s">
        <v>457</v>
      </c>
      <c r="R35" s="2" t="s">
        <v>181</v>
      </c>
      <c r="S35" s="2" t="s">
        <v>86</v>
      </c>
      <c r="T35" s="2" t="s">
        <v>619</v>
      </c>
      <c r="U35" s="2" t="s">
        <v>183</v>
      </c>
      <c r="V35" s="2" t="s">
        <v>183</v>
      </c>
      <c r="W35" s="2" t="s">
        <v>183</v>
      </c>
      <c r="X35" s="2" t="s">
        <v>339</v>
      </c>
      <c r="Y35" s="2" t="s">
        <v>205</v>
      </c>
      <c r="Z35" s="2" t="s">
        <v>620</v>
      </c>
      <c r="AA35" s="2" t="s">
        <v>621</v>
      </c>
      <c r="AC35" s="2" t="s">
        <v>622</v>
      </c>
      <c r="AE35" s="2" t="s">
        <v>223</v>
      </c>
      <c r="AF35" s="2" t="s">
        <v>224</v>
      </c>
      <c r="AG35" s="2" t="s">
        <v>2</v>
      </c>
      <c r="AH35" s="2" t="s">
        <v>225</v>
      </c>
      <c r="AI35" s="2" t="s">
        <v>342</v>
      </c>
    </row>
    <row r="36" spans="1:35">
      <c r="A36" s="2" t="s">
        <v>623</v>
      </c>
      <c r="B36" s="2" t="s">
        <v>624</v>
      </c>
      <c r="C36" s="2" t="s">
        <v>625</v>
      </c>
      <c r="D36" s="2" t="s">
        <v>626</v>
      </c>
      <c r="E36" t="s">
        <v>627</v>
      </c>
      <c r="F36" s="2" t="s">
        <v>213</v>
      </c>
      <c r="G36" s="2" t="s">
        <v>628</v>
      </c>
      <c r="H36" s="2" t="s">
        <v>629</v>
      </c>
      <c r="I36" s="4" t="s">
        <v>630</v>
      </c>
      <c r="J36" s="2" t="s">
        <v>2</v>
      </c>
      <c r="K36" s="2" t="s">
        <v>88</v>
      </c>
      <c r="L36" s="2">
        <v>1</v>
      </c>
      <c r="M36" s="2" t="s">
        <v>130</v>
      </c>
      <c r="N36" s="2" t="s">
        <v>631</v>
      </c>
      <c r="O36" s="2" t="s">
        <v>472</v>
      </c>
      <c r="P36" s="2" t="s">
        <v>364</v>
      </c>
      <c r="Q36" s="2" t="s">
        <v>457</v>
      </c>
      <c r="R36" s="2" t="s">
        <v>181</v>
      </c>
      <c r="S36" s="2" t="s">
        <v>84</v>
      </c>
      <c r="T36" s="2" t="s">
        <v>632</v>
      </c>
      <c r="U36" s="2" t="s">
        <v>183</v>
      </c>
      <c r="V36" s="2" t="s">
        <v>183</v>
      </c>
      <c r="W36" s="2" t="s">
        <v>183</v>
      </c>
      <c r="X36" s="2" t="s">
        <v>339</v>
      </c>
      <c r="Y36" s="2" t="s">
        <v>184</v>
      </c>
      <c r="Z36" s="2" t="s">
        <v>633</v>
      </c>
      <c r="AA36" s="2" t="s">
        <v>634</v>
      </c>
      <c r="AB36" s="2" t="s">
        <v>476</v>
      </c>
      <c r="AC36" s="2" t="s">
        <v>462</v>
      </c>
      <c r="AE36" s="2" t="s">
        <v>370</v>
      </c>
      <c r="AF36" s="2" t="s">
        <v>371</v>
      </c>
      <c r="AG36" s="2" t="s">
        <v>2</v>
      </c>
      <c r="AH36" s="2" t="s">
        <v>372</v>
      </c>
      <c r="AI36" s="2" t="s">
        <v>193</v>
      </c>
    </row>
    <row r="37" spans="1:35">
      <c r="A37" s="2" t="s">
        <v>635</v>
      </c>
      <c r="B37" s="2" t="s">
        <v>636</v>
      </c>
      <c r="C37" s="2" t="s">
        <v>637</v>
      </c>
      <c r="D37" s="2" t="s">
        <v>638</v>
      </c>
      <c r="E37" t="s">
        <v>639</v>
      </c>
      <c r="F37" s="2" t="s">
        <v>333</v>
      </c>
      <c r="G37" s="2" t="s">
        <v>640</v>
      </c>
      <c r="H37" s="2" t="s">
        <v>641</v>
      </c>
      <c r="I37" s="4" t="s">
        <v>642</v>
      </c>
      <c r="J37" s="2" t="s">
        <v>2</v>
      </c>
      <c r="K37" s="2" t="s">
        <v>88</v>
      </c>
      <c r="L37" s="2">
        <v>1</v>
      </c>
      <c r="M37" s="2" t="s">
        <v>130</v>
      </c>
      <c r="N37" s="2" t="s">
        <v>631</v>
      </c>
      <c r="O37" s="2" t="s">
        <v>643</v>
      </c>
      <c r="P37" s="2" t="s">
        <v>179</v>
      </c>
      <c r="Q37" s="2" t="s">
        <v>644</v>
      </c>
      <c r="R37" s="2" t="s">
        <v>181</v>
      </c>
      <c r="S37" s="2" t="s">
        <v>86</v>
      </c>
      <c r="T37" s="2" t="s">
        <v>645</v>
      </c>
      <c r="U37" s="2" t="s">
        <v>183</v>
      </c>
      <c r="V37" s="2" t="s">
        <v>183</v>
      </c>
      <c r="W37" s="2" t="s">
        <v>183</v>
      </c>
      <c r="X37" s="2" t="s">
        <v>339</v>
      </c>
      <c r="Y37" s="2" t="s">
        <v>205</v>
      </c>
      <c r="Z37" s="2" t="s">
        <v>646</v>
      </c>
      <c r="AA37" s="2" t="s">
        <v>647</v>
      </c>
      <c r="AC37" s="2" t="s">
        <v>622</v>
      </c>
      <c r="AE37" s="2" t="s">
        <v>190</v>
      </c>
      <c r="AF37" s="2" t="s">
        <v>191</v>
      </c>
      <c r="AG37" s="2" t="s">
        <v>2</v>
      </c>
      <c r="AH37" s="2" t="s">
        <v>192</v>
      </c>
      <c r="AI37" s="2" t="s">
        <v>342</v>
      </c>
    </row>
    <row r="38" spans="1:35">
      <c r="A38" s="2" t="s">
        <v>648</v>
      </c>
      <c r="B38" s="2" t="s">
        <v>649</v>
      </c>
      <c r="C38" s="2" t="s">
        <v>650</v>
      </c>
      <c r="D38" s="2" t="s">
        <v>651</v>
      </c>
      <c r="E38" t="s">
        <v>652</v>
      </c>
      <c r="F38" s="2" t="s">
        <v>333</v>
      </c>
      <c r="G38" s="2" t="s">
        <v>653</v>
      </c>
      <c r="H38" s="2" t="s">
        <v>654</v>
      </c>
      <c r="I38" s="4" t="s">
        <v>655</v>
      </c>
      <c r="J38" s="2" t="s">
        <v>2</v>
      </c>
      <c r="K38" s="2" t="s">
        <v>88</v>
      </c>
      <c r="L38" s="2">
        <v>1</v>
      </c>
      <c r="M38" s="2" t="s">
        <v>130</v>
      </c>
      <c r="N38" s="2" t="s">
        <v>631</v>
      </c>
      <c r="O38" s="2" t="s">
        <v>246</v>
      </c>
      <c r="P38" s="2" t="s">
        <v>179</v>
      </c>
      <c r="Q38" s="2" t="s">
        <v>457</v>
      </c>
      <c r="R38" s="2" t="s">
        <v>181</v>
      </c>
      <c r="S38" s="2" t="s">
        <v>84</v>
      </c>
      <c r="T38" s="2" t="s">
        <v>656</v>
      </c>
      <c r="U38" s="2" t="s">
        <v>183</v>
      </c>
      <c r="V38" s="2" t="s">
        <v>183</v>
      </c>
      <c r="W38" s="2" t="s">
        <v>183</v>
      </c>
      <c r="X38" s="2" t="s">
        <v>339</v>
      </c>
      <c r="Y38" s="2" t="s">
        <v>184</v>
      </c>
      <c r="Z38" s="2" t="s">
        <v>657</v>
      </c>
      <c r="AA38" s="2" t="s">
        <v>658</v>
      </c>
      <c r="AB38" s="2" t="s">
        <v>574</v>
      </c>
      <c r="AC38" s="2" t="s">
        <v>327</v>
      </c>
      <c r="AE38" s="2" t="s">
        <v>370</v>
      </c>
      <c r="AF38" s="2" t="s">
        <v>371</v>
      </c>
      <c r="AG38" s="2" t="s">
        <v>2</v>
      </c>
      <c r="AH38" s="2" t="s">
        <v>372</v>
      </c>
      <c r="AI38" s="2" t="s">
        <v>342</v>
      </c>
    </row>
    <row r="39" spans="1:35">
      <c r="A39" s="2" t="s">
        <v>659</v>
      </c>
      <c r="B39" s="2" t="s">
        <v>660</v>
      </c>
      <c r="C39" s="2" t="s">
        <v>661</v>
      </c>
      <c r="D39" s="2" t="s">
        <v>662</v>
      </c>
      <c r="E39" t="s">
        <v>663</v>
      </c>
      <c r="F39" s="2" t="s">
        <v>213</v>
      </c>
      <c r="G39" s="2" t="s">
        <v>664</v>
      </c>
      <c r="H39" s="2" t="s">
        <v>665</v>
      </c>
      <c r="I39" s="4" t="s">
        <v>666</v>
      </c>
      <c r="J39" s="2" t="s">
        <v>2</v>
      </c>
      <c r="K39" s="2" t="s">
        <v>88</v>
      </c>
      <c r="L39" s="2">
        <v>1</v>
      </c>
      <c r="M39" s="2" t="s">
        <v>132</v>
      </c>
      <c r="N39" s="2" t="s">
        <v>631</v>
      </c>
      <c r="O39" s="2" t="s">
        <v>667</v>
      </c>
      <c r="P39" s="2" t="s">
        <v>179</v>
      </c>
      <c r="Q39" s="2" t="s">
        <v>668</v>
      </c>
      <c r="R39" s="2" t="s">
        <v>181</v>
      </c>
      <c r="S39" s="2" t="s">
        <v>86</v>
      </c>
      <c r="T39" s="2" t="s">
        <v>669</v>
      </c>
      <c r="U39" s="2" t="s">
        <v>183</v>
      </c>
      <c r="V39" s="2" t="s">
        <v>183</v>
      </c>
      <c r="W39" s="2" t="s">
        <v>183</v>
      </c>
      <c r="X39" s="2" t="s">
        <v>339</v>
      </c>
      <c r="Y39" s="2" t="s">
        <v>205</v>
      </c>
      <c r="Z39" s="2" t="s">
        <v>670</v>
      </c>
      <c r="AA39" s="2" t="s">
        <v>671</v>
      </c>
      <c r="AC39" s="2" t="s">
        <v>477</v>
      </c>
      <c r="AE39" s="2" t="s">
        <v>190</v>
      </c>
      <c r="AF39" s="2" t="s">
        <v>191</v>
      </c>
      <c r="AG39" s="2" t="s">
        <v>2</v>
      </c>
      <c r="AH39" s="2" t="s">
        <v>192</v>
      </c>
      <c r="AI39" s="2" t="s">
        <v>193</v>
      </c>
    </row>
    <row r="40" spans="1:35">
      <c r="A40" s="2" t="s">
        <v>672</v>
      </c>
      <c r="B40" s="2" t="s">
        <v>673</v>
      </c>
      <c r="C40" s="2" t="s">
        <v>674</v>
      </c>
      <c r="D40" s="2" t="s">
        <v>675</v>
      </c>
      <c r="E40" t="s">
        <v>388</v>
      </c>
      <c r="F40" s="2" t="s">
        <v>333</v>
      </c>
      <c r="G40" s="2" t="s">
        <v>676</v>
      </c>
      <c r="H40" s="2" t="s">
        <v>677</v>
      </c>
      <c r="I40" s="4" t="s">
        <v>678</v>
      </c>
      <c r="J40" s="2" t="s">
        <v>2</v>
      </c>
      <c r="K40" s="2" t="s">
        <v>88</v>
      </c>
      <c r="L40" s="2">
        <v>1</v>
      </c>
      <c r="M40" s="2" t="s">
        <v>132</v>
      </c>
      <c r="N40" s="2" t="s">
        <v>631</v>
      </c>
      <c r="O40" s="2" t="s">
        <v>679</v>
      </c>
      <c r="P40" s="2" t="s">
        <v>364</v>
      </c>
      <c r="Q40" s="2" t="s">
        <v>560</v>
      </c>
      <c r="R40" s="2" t="s">
        <v>181</v>
      </c>
      <c r="S40" s="2" t="s">
        <v>84</v>
      </c>
      <c r="T40" s="2" t="s">
        <v>680</v>
      </c>
      <c r="U40" s="2" t="s">
        <v>183</v>
      </c>
      <c r="V40" s="2" t="s">
        <v>183</v>
      </c>
      <c r="W40" s="2" t="s">
        <v>183</v>
      </c>
      <c r="X40" s="2" t="s">
        <v>339</v>
      </c>
      <c r="Y40" s="2" t="s">
        <v>184</v>
      </c>
      <c r="Z40" s="2" t="s">
        <v>681</v>
      </c>
      <c r="AA40" s="2" t="s">
        <v>682</v>
      </c>
      <c r="AB40" s="2" t="s">
        <v>574</v>
      </c>
      <c r="AC40" s="2" t="s">
        <v>462</v>
      </c>
      <c r="AE40" s="2" t="s">
        <v>370</v>
      </c>
      <c r="AF40" s="2" t="s">
        <v>371</v>
      </c>
      <c r="AG40" s="2" t="s">
        <v>2</v>
      </c>
      <c r="AH40" s="2" t="s">
        <v>372</v>
      </c>
      <c r="AI40" s="2" t="s">
        <v>342</v>
      </c>
    </row>
    <row r="41" spans="1:35">
      <c r="A41" s="2" t="s">
        <v>683</v>
      </c>
      <c r="B41" s="2" t="s">
        <v>684</v>
      </c>
      <c r="C41" s="4" t="s">
        <v>685</v>
      </c>
      <c r="D41" s="4" t="s">
        <v>686</v>
      </c>
      <c r="E41" s="2" t="s">
        <v>198</v>
      </c>
      <c r="F41" s="2" t="s">
        <v>199</v>
      </c>
      <c r="G41" s="2" t="s">
        <v>687</v>
      </c>
      <c r="H41" s="2" t="s">
        <v>688</v>
      </c>
      <c r="I41" s="4" t="s">
        <v>689</v>
      </c>
      <c r="J41" s="2" t="s">
        <v>2</v>
      </c>
      <c r="K41" s="2" t="s">
        <v>88</v>
      </c>
      <c r="L41" s="2">
        <v>2</v>
      </c>
      <c r="M41" s="2" t="s">
        <v>114</v>
      </c>
      <c r="N41" s="2" t="s">
        <v>177</v>
      </c>
      <c r="O41" s="2" t="s">
        <v>690</v>
      </c>
      <c r="P41" s="2" t="s">
        <v>179</v>
      </c>
      <c r="Q41" s="2" t="s">
        <v>691</v>
      </c>
      <c r="R41" s="2" t="s">
        <v>181</v>
      </c>
      <c r="S41" s="2" t="s">
        <v>82</v>
      </c>
      <c r="T41" s="2" t="s">
        <v>692</v>
      </c>
      <c r="U41" s="2" t="s">
        <v>183</v>
      </c>
      <c r="V41" s="2" t="s">
        <v>183</v>
      </c>
      <c r="W41" s="2" t="s">
        <v>183</v>
      </c>
      <c r="X41" s="2" t="s">
        <v>205</v>
      </c>
      <c r="Y41" s="2" t="s">
        <v>184</v>
      </c>
      <c r="Z41" s="2" t="s">
        <v>693</v>
      </c>
      <c r="AA41" s="2" t="s">
        <v>694</v>
      </c>
      <c r="AB41" s="2" t="s">
        <v>695</v>
      </c>
      <c r="AC41" s="2" t="s">
        <v>369</v>
      </c>
      <c r="AE41" s="2" t="s">
        <v>223</v>
      </c>
      <c r="AF41" s="2" t="s">
        <v>224</v>
      </c>
      <c r="AG41" s="2" t="s">
        <v>2</v>
      </c>
      <c r="AH41" s="2" t="s">
        <v>225</v>
      </c>
      <c r="AI41" s="2" t="s">
        <v>193</v>
      </c>
    </row>
    <row r="42" spans="1:35">
      <c r="A42" s="2" t="s">
        <v>696</v>
      </c>
      <c r="B42" s="2" t="s">
        <v>697</v>
      </c>
      <c r="C42" s="4" t="s">
        <v>698</v>
      </c>
      <c r="D42" s="4" t="s">
        <v>699</v>
      </c>
      <c r="E42" s="2" t="s">
        <v>700</v>
      </c>
      <c r="F42" s="2" t="s">
        <v>701</v>
      </c>
      <c r="G42" s="2" t="s">
        <v>702</v>
      </c>
      <c r="H42" s="2" t="s">
        <v>703</v>
      </c>
      <c r="I42" s="4" t="s">
        <v>704</v>
      </c>
      <c r="J42" s="2" t="s">
        <v>2</v>
      </c>
      <c r="K42" s="2" t="s">
        <v>88</v>
      </c>
      <c r="L42" s="2">
        <v>2</v>
      </c>
      <c r="M42" s="2" t="s">
        <v>114</v>
      </c>
      <c r="N42" s="2" t="s">
        <v>177</v>
      </c>
      <c r="O42" s="2" t="s">
        <v>705</v>
      </c>
      <c r="P42" s="2" t="s">
        <v>706</v>
      </c>
      <c r="Q42" s="2" t="s">
        <v>707</v>
      </c>
      <c r="R42" s="2" t="s">
        <v>181</v>
      </c>
      <c r="S42" s="2" t="s">
        <v>82</v>
      </c>
      <c r="T42" s="2" t="s">
        <v>708</v>
      </c>
      <c r="U42" s="2" t="s">
        <v>183</v>
      </c>
      <c r="V42" s="2" t="s">
        <v>183</v>
      </c>
      <c r="W42" s="2" t="s">
        <v>183</v>
      </c>
      <c r="X42" s="2" t="s">
        <v>339</v>
      </c>
      <c r="Y42" s="2" t="s">
        <v>184</v>
      </c>
      <c r="Z42" s="2" t="s">
        <v>709</v>
      </c>
      <c r="AA42" s="2" t="s">
        <v>710</v>
      </c>
      <c r="AB42" s="2" t="s">
        <v>695</v>
      </c>
      <c r="AC42" s="2" t="s">
        <v>611</v>
      </c>
      <c r="AD42" s="2" t="s">
        <v>711</v>
      </c>
      <c r="AE42" s="2" t="s">
        <v>190</v>
      </c>
      <c r="AF42" s="2" t="s">
        <v>191</v>
      </c>
      <c r="AG42" s="2" t="s">
        <v>2</v>
      </c>
      <c r="AH42" s="2" t="s">
        <v>192</v>
      </c>
      <c r="AI42" s="2" t="s">
        <v>193</v>
      </c>
    </row>
    <row r="43" spans="1:35">
      <c r="A43" s="2" t="s">
        <v>712</v>
      </c>
      <c r="B43" s="2" t="s">
        <v>713</v>
      </c>
      <c r="C43" s="7" t="s">
        <v>714</v>
      </c>
      <c r="D43" s="7" t="s">
        <v>715</v>
      </c>
      <c r="E43" s="6" t="s">
        <v>388</v>
      </c>
      <c r="F43" s="7" t="s">
        <v>333</v>
      </c>
      <c r="G43" s="2" t="s">
        <v>716</v>
      </c>
      <c r="H43" s="2" t="s">
        <v>717</v>
      </c>
      <c r="I43" s="4" t="s">
        <v>718</v>
      </c>
      <c r="J43" s="7" t="s">
        <v>2</v>
      </c>
      <c r="K43" s="7" t="s">
        <v>217</v>
      </c>
      <c r="L43" s="2">
        <v>2</v>
      </c>
      <c r="M43" s="2" t="s">
        <v>114</v>
      </c>
      <c r="N43" s="2" t="s">
        <v>177</v>
      </c>
      <c r="O43" s="2" t="s">
        <v>719</v>
      </c>
      <c r="P43" s="2" t="s">
        <v>706</v>
      </c>
      <c r="Q43" s="2" t="s">
        <v>596</v>
      </c>
      <c r="R43" s="2" t="s">
        <v>181</v>
      </c>
      <c r="S43" s="2" t="s">
        <v>84</v>
      </c>
      <c r="T43" s="2" t="s">
        <v>720</v>
      </c>
      <c r="U43" s="2" t="s">
        <v>183</v>
      </c>
      <c r="V43" s="2" t="s">
        <v>183</v>
      </c>
      <c r="W43" s="2" t="s">
        <v>183</v>
      </c>
      <c r="X43" s="2" t="s">
        <v>339</v>
      </c>
      <c r="Y43" s="2" t="s">
        <v>205</v>
      </c>
      <c r="Z43" s="2" t="s">
        <v>721</v>
      </c>
      <c r="AA43" s="2" t="s">
        <v>722</v>
      </c>
      <c r="AB43" s="2" t="s">
        <v>695</v>
      </c>
      <c r="AC43" s="2" t="s">
        <v>611</v>
      </c>
      <c r="AE43" s="2" t="s">
        <v>190</v>
      </c>
      <c r="AF43" s="2" t="s">
        <v>191</v>
      </c>
      <c r="AG43" s="2" t="s">
        <v>2</v>
      </c>
      <c r="AH43" s="2" t="s">
        <v>192</v>
      </c>
      <c r="AI43" s="2" t="s">
        <v>342</v>
      </c>
    </row>
    <row r="44" spans="1:35">
      <c r="A44" s="2" t="s">
        <v>723</v>
      </c>
      <c r="B44" s="2" t="s">
        <v>724</v>
      </c>
      <c r="C44" s="7" t="s">
        <v>725</v>
      </c>
      <c r="D44" s="7" t="s">
        <v>726</v>
      </c>
      <c r="E44" s="6" t="s">
        <v>256</v>
      </c>
      <c r="F44" s="7" t="s">
        <v>213</v>
      </c>
      <c r="G44" s="2" t="s">
        <v>727</v>
      </c>
      <c r="H44" s="2" t="s">
        <v>728</v>
      </c>
      <c r="I44" s="4" t="s">
        <v>729</v>
      </c>
      <c r="J44" s="7" t="s">
        <v>2</v>
      </c>
      <c r="K44" s="7" t="s">
        <v>217</v>
      </c>
      <c r="L44" s="2">
        <v>2</v>
      </c>
      <c r="M44" s="2" t="s">
        <v>120</v>
      </c>
      <c r="N44" s="2" t="s">
        <v>177</v>
      </c>
      <c r="O44" s="2" t="s">
        <v>730</v>
      </c>
      <c r="P44" s="2" t="s">
        <v>219</v>
      </c>
      <c r="Q44" s="2" t="s">
        <v>691</v>
      </c>
      <c r="R44" s="2" t="s">
        <v>181</v>
      </c>
      <c r="S44" s="2" t="s">
        <v>84</v>
      </c>
      <c r="T44" s="2" t="s">
        <v>731</v>
      </c>
      <c r="U44" s="2" t="s">
        <v>183</v>
      </c>
      <c r="V44" s="2" t="s">
        <v>183</v>
      </c>
      <c r="W44" s="2" t="s">
        <v>183</v>
      </c>
      <c r="X44" s="2" t="s">
        <v>205</v>
      </c>
      <c r="Y44" s="2" t="s">
        <v>205</v>
      </c>
      <c r="Z44" s="2" t="s">
        <v>732</v>
      </c>
      <c r="AA44" s="2" t="s">
        <v>733</v>
      </c>
      <c r="AB44" s="2" t="s">
        <v>695</v>
      </c>
      <c r="AC44" s="2" t="s">
        <v>369</v>
      </c>
      <c r="AE44" s="2" t="s">
        <v>223</v>
      </c>
      <c r="AF44" s="2" t="s">
        <v>224</v>
      </c>
      <c r="AG44" s="2" t="s">
        <v>2</v>
      </c>
      <c r="AH44" s="2" t="s">
        <v>225</v>
      </c>
      <c r="AI44" s="2" t="s">
        <v>193</v>
      </c>
    </row>
    <row r="45" spans="1:35">
      <c r="A45" s="2" t="s">
        <v>734</v>
      </c>
      <c r="B45" s="2" t="s">
        <v>735</v>
      </c>
      <c r="C45" s="7" t="s">
        <v>736</v>
      </c>
      <c r="D45" s="7" t="s">
        <v>737</v>
      </c>
      <c r="E45" s="6" t="s">
        <v>738</v>
      </c>
      <c r="F45" s="7" t="s">
        <v>213</v>
      </c>
      <c r="G45" s="2" t="s">
        <v>739</v>
      </c>
      <c r="H45" s="2" t="s">
        <v>740</v>
      </c>
      <c r="I45" s="4" t="s">
        <v>741</v>
      </c>
      <c r="J45" s="7" t="s">
        <v>2</v>
      </c>
      <c r="K45" s="7" t="s">
        <v>217</v>
      </c>
      <c r="L45" s="2">
        <v>2</v>
      </c>
      <c r="M45" s="2" t="s">
        <v>114</v>
      </c>
      <c r="N45" s="2" t="s">
        <v>177</v>
      </c>
      <c r="O45" s="2" t="s">
        <v>742</v>
      </c>
      <c r="P45" s="2" t="s">
        <v>272</v>
      </c>
      <c r="Q45" s="2" t="s">
        <v>743</v>
      </c>
      <c r="R45" s="2" t="s">
        <v>261</v>
      </c>
      <c r="S45" s="2" t="s">
        <v>84</v>
      </c>
      <c r="T45" s="2" t="s">
        <v>744</v>
      </c>
      <c r="U45" s="2" t="s">
        <v>183</v>
      </c>
      <c r="V45" s="2" t="s">
        <v>183</v>
      </c>
      <c r="W45" s="2" t="s">
        <v>183</v>
      </c>
      <c r="X45" s="2" t="s">
        <v>339</v>
      </c>
      <c r="Y45" s="2" t="s">
        <v>205</v>
      </c>
      <c r="Z45" s="2" t="s">
        <v>745</v>
      </c>
      <c r="AA45" s="2" t="s">
        <v>746</v>
      </c>
      <c r="AB45" s="2" t="s">
        <v>695</v>
      </c>
      <c r="AC45" s="2" t="s">
        <v>611</v>
      </c>
      <c r="AE45" s="2" t="s">
        <v>223</v>
      </c>
      <c r="AF45" s="2" t="s">
        <v>224</v>
      </c>
      <c r="AG45" s="2" t="s">
        <v>2</v>
      </c>
      <c r="AH45" s="2" t="s">
        <v>225</v>
      </c>
      <c r="AI45" s="2" t="s">
        <v>193</v>
      </c>
    </row>
    <row r="46" spans="1:35">
      <c r="A46" s="2" t="s">
        <v>747</v>
      </c>
      <c r="B46" s="2" t="s">
        <v>748</v>
      </c>
      <c r="C46" s="7" t="s">
        <v>749</v>
      </c>
      <c r="D46" s="7" t="s">
        <v>750</v>
      </c>
      <c r="E46" s="6" t="s">
        <v>751</v>
      </c>
      <c r="F46" s="7" t="s">
        <v>752</v>
      </c>
      <c r="G46" s="2" t="s">
        <v>753</v>
      </c>
      <c r="H46" s="2" t="s">
        <v>754</v>
      </c>
      <c r="I46" s="4" t="s">
        <v>755</v>
      </c>
      <c r="J46" s="7" t="s">
        <v>2</v>
      </c>
      <c r="K46" s="7" t="s">
        <v>217</v>
      </c>
      <c r="L46" s="2">
        <v>2</v>
      </c>
      <c r="M46" s="2" t="s">
        <v>114</v>
      </c>
      <c r="N46" s="2" t="s">
        <v>177</v>
      </c>
      <c r="O46" s="2" t="s">
        <v>756</v>
      </c>
      <c r="P46" s="2" t="s">
        <v>706</v>
      </c>
      <c r="Q46" s="2" t="s">
        <v>757</v>
      </c>
      <c r="R46" s="2" t="s">
        <v>181</v>
      </c>
      <c r="S46" s="2" t="s">
        <v>84</v>
      </c>
      <c r="T46" s="2" t="s">
        <v>758</v>
      </c>
      <c r="U46" s="2" t="s">
        <v>183</v>
      </c>
      <c r="V46" s="2" t="s">
        <v>183</v>
      </c>
      <c r="W46" s="2" t="s">
        <v>183</v>
      </c>
      <c r="X46" s="2" t="s">
        <v>339</v>
      </c>
      <c r="Y46" s="2" t="s">
        <v>184</v>
      </c>
      <c r="Z46" s="2" t="s">
        <v>759</v>
      </c>
      <c r="AA46" s="2" t="s">
        <v>760</v>
      </c>
      <c r="AB46" s="2" t="s">
        <v>695</v>
      </c>
      <c r="AC46" s="2" t="s">
        <v>462</v>
      </c>
      <c r="AE46" s="2" t="s">
        <v>190</v>
      </c>
      <c r="AF46" s="2" t="s">
        <v>191</v>
      </c>
      <c r="AG46" s="2" t="s">
        <v>2</v>
      </c>
      <c r="AH46" s="2" t="s">
        <v>192</v>
      </c>
      <c r="AI46" s="2" t="s">
        <v>193</v>
      </c>
    </row>
    <row r="47" spans="1:35">
      <c r="A47" s="2" t="s">
        <v>761</v>
      </c>
      <c r="B47" s="2" t="s">
        <v>762</v>
      </c>
      <c r="C47" s="7" t="s">
        <v>763</v>
      </c>
      <c r="D47" s="7" t="s">
        <v>764</v>
      </c>
      <c r="E47" s="6" t="s">
        <v>497</v>
      </c>
      <c r="F47" s="7" t="s">
        <v>765</v>
      </c>
      <c r="G47" s="2" t="s">
        <v>766</v>
      </c>
      <c r="H47" s="2" t="s">
        <v>767</v>
      </c>
      <c r="I47" s="4" t="s">
        <v>768</v>
      </c>
      <c r="J47" s="7" t="s">
        <v>2</v>
      </c>
      <c r="K47" s="7" t="s">
        <v>217</v>
      </c>
      <c r="L47" s="2">
        <v>2</v>
      </c>
      <c r="M47" s="2" t="s">
        <v>114</v>
      </c>
      <c r="N47" s="2" t="s">
        <v>218</v>
      </c>
      <c r="O47" s="2" t="s">
        <v>719</v>
      </c>
      <c r="P47" s="2" t="s">
        <v>706</v>
      </c>
      <c r="Q47" s="2" t="s">
        <v>769</v>
      </c>
      <c r="R47" s="2" t="s">
        <v>181</v>
      </c>
      <c r="S47" s="2" t="s">
        <v>84</v>
      </c>
      <c r="T47" s="2" t="s">
        <v>770</v>
      </c>
      <c r="U47" s="2" t="s">
        <v>183</v>
      </c>
      <c r="V47" s="2" t="s">
        <v>183</v>
      </c>
      <c r="W47" s="2" t="s">
        <v>183</v>
      </c>
      <c r="X47" s="2" t="s">
        <v>339</v>
      </c>
      <c r="Y47" s="2" t="s">
        <v>205</v>
      </c>
      <c r="Z47" s="2" t="s">
        <v>771</v>
      </c>
      <c r="AA47" s="2" t="s">
        <v>772</v>
      </c>
      <c r="AB47" s="2" t="s">
        <v>695</v>
      </c>
      <c r="AC47" s="2" t="s">
        <v>773</v>
      </c>
      <c r="AE47" s="2" t="s">
        <v>223</v>
      </c>
      <c r="AF47" s="2" t="s">
        <v>224</v>
      </c>
      <c r="AG47" s="2" t="s">
        <v>2</v>
      </c>
      <c r="AH47" s="2" t="s">
        <v>225</v>
      </c>
      <c r="AI47" s="2" t="s">
        <v>193</v>
      </c>
    </row>
    <row r="48" spans="1:35">
      <c r="A48" s="2" t="s">
        <v>774</v>
      </c>
      <c r="B48" s="2" t="s">
        <v>775</v>
      </c>
      <c r="C48" s="7" t="s">
        <v>776</v>
      </c>
      <c r="D48" s="7" t="s">
        <v>777</v>
      </c>
      <c r="E48" s="6" t="s">
        <v>778</v>
      </c>
      <c r="F48" s="7" t="s">
        <v>213</v>
      </c>
      <c r="G48" s="2" t="s">
        <v>779</v>
      </c>
      <c r="H48" s="2" t="s">
        <v>780</v>
      </c>
      <c r="I48" s="4" t="s">
        <v>781</v>
      </c>
      <c r="J48" s="7" t="s">
        <v>2</v>
      </c>
      <c r="K48" s="7" t="s">
        <v>217</v>
      </c>
      <c r="L48" s="2">
        <v>2</v>
      </c>
      <c r="M48" s="2" t="s">
        <v>120</v>
      </c>
      <c r="N48" s="2" t="s">
        <v>218</v>
      </c>
      <c r="O48" s="2" t="s">
        <v>285</v>
      </c>
      <c r="P48" s="2" t="s">
        <v>179</v>
      </c>
      <c r="Q48" s="2" t="s">
        <v>691</v>
      </c>
      <c r="R48" s="2" t="s">
        <v>181</v>
      </c>
      <c r="S48" s="2" t="s">
        <v>86</v>
      </c>
      <c r="T48" s="2" t="s">
        <v>782</v>
      </c>
      <c r="U48" s="2" t="s">
        <v>183</v>
      </c>
      <c r="V48" s="2" t="s">
        <v>183</v>
      </c>
      <c r="W48" s="2" t="s">
        <v>183</v>
      </c>
      <c r="X48" s="2" t="s">
        <v>205</v>
      </c>
      <c r="Y48" s="2" t="s">
        <v>205</v>
      </c>
      <c r="Z48" s="2" t="s">
        <v>783</v>
      </c>
      <c r="AA48" s="2" t="s">
        <v>784</v>
      </c>
      <c r="AC48" s="2" t="s">
        <v>446</v>
      </c>
      <c r="AE48" s="2" t="s">
        <v>223</v>
      </c>
      <c r="AF48" s="2" t="s">
        <v>224</v>
      </c>
      <c r="AG48" s="2" t="s">
        <v>2</v>
      </c>
      <c r="AH48" s="2" t="s">
        <v>225</v>
      </c>
      <c r="AI48" s="2" t="s">
        <v>193</v>
      </c>
    </row>
    <row r="49" spans="1:35">
      <c r="A49" s="2" t="s">
        <v>785</v>
      </c>
      <c r="B49" s="2" t="s">
        <v>786</v>
      </c>
      <c r="C49" s="7" t="s">
        <v>787</v>
      </c>
      <c r="D49" s="7" t="s">
        <v>788</v>
      </c>
      <c r="E49" s="6" t="s">
        <v>789</v>
      </c>
      <c r="F49" s="7" t="s">
        <v>484</v>
      </c>
      <c r="G49" s="2" t="s">
        <v>790</v>
      </c>
      <c r="H49" s="2" t="s">
        <v>791</v>
      </c>
      <c r="I49" s="4" t="s">
        <v>792</v>
      </c>
      <c r="J49" s="7" t="s">
        <v>2</v>
      </c>
      <c r="K49" s="7" t="s">
        <v>217</v>
      </c>
      <c r="L49" s="2">
        <v>2</v>
      </c>
      <c r="M49" s="2" t="s">
        <v>114</v>
      </c>
      <c r="N49" s="2" t="s">
        <v>218</v>
      </c>
      <c r="O49" s="2" t="s">
        <v>793</v>
      </c>
      <c r="P49" s="2" t="s">
        <v>272</v>
      </c>
      <c r="Q49" s="2" t="s">
        <v>769</v>
      </c>
      <c r="R49" s="2" t="s">
        <v>261</v>
      </c>
      <c r="S49" s="2" t="s">
        <v>86</v>
      </c>
      <c r="T49" s="2" t="s">
        <v>794</v>
      </c>
      <c r="U49" s="2" t="s">
        <v>183</v>
      </c>
      <c r="V49" s="2" t="s">
        <v>183</v>
      </c>
      <c r="W49" s="2" t="s">
        <v>183</v>
      </c>
      <c r="X49" s="2" t="s">
        <v>339</v>
      </c>
      <c r="Y49" s="2" t="s">
        <v>205</v>
      </c>
      <c r="Z49" s="2" t="s">
        <v>795</v>
      </c>
      <c r="AA49" s="2" t="s">
        <v>796</v>
      </c>
      <c r="AB49" s="2" t="s">
        <v>695</v>
      </c>
      <c r="AC49" s="2" t="s">
        <v>773</v>
      </c>
      <c r="AE49" s="2" t="s">
        <v>223</v>
      </c>
      <c r="AF49" s="2" t="s">
        <v>224</v>
      </c>
      <c r="AG49" s="2" t="s">
        <v>2</v>
      </c>
      <c r="AH49" s="2" t="s">
        <v>225</v>
      </c>
      <c r="AI49" s="2" t="s">
        <v>193</v>
      </c>
    </row>
    <row r="50" spans="1:35">
      <c r="A50" s="2" t="s">
        <v>797</v>
      </c>
      <c r="B50" s="2" t="s">
        <v>798</v>
      </c>
      <c r="C50" s="7" t="s">
        <v>799</v>
      </c>
      <c r="D50" s="7" t="s">
        <v>800</v>
      </c>
      <c r="E50" s="6" t="s">
        <v>801</v>
      </c>
      <c r="F50" s="7" t="s">
        <v>213</v>
      </c>
      <c r="G50" s="2" t="s">
        <v>802</v>
      </c>
      <c r="H50" s="2" t="s">
        <v>803</v>
      </c>
      <c r="I50" s="4" t="s">
        <v>804</v>
      </c>
      <c r="J50" s="7" t="s">
        <v>2</v>
      </c>
      <c r="K50" s="7" t="s">
        <v>217</v>
      </c>
      <c r="L50" s="2">
        <v>2</v>
      </c>
      <c r="M50" s="2" t="s">
        <v>120</v>
      </c>
      <c r="N50" s="2" t="s">
        <v>218</v>
      </c>
      <c r="O50" s="2" t="s">
        <v>742</v>
      </c>
      <c r="P50" s="2" t="s">
        <v>219</v>
      </c>
      <c r="Q50" s="2" t="s">
        <v>805</v>
      </c>
      <c r="R50" s="2" t="s">
        <v>181</v>
      </c>
      <c r="S50" s="2" t="s">
        <v>86</v>
      </c>
      <c r="T50" s="2" t="s">
        <v>806</v>
      </c>
      <c r="U50" s="2" t="s">
        <v>183</v>
      </c>
      <c r="V50" s="2" t="s">
        <v>183</v>
      </c>
      <c r="W50" s="2" t="s">
        <v>183</v>
      </c>
      <c r="X50" s="2" t="s">
        <v>339</v>
      </c>
      <c r="Y50" s="2" t="s">
        <v>205</v>
      </c>
      <c r="Z50" s="2" t="s">
        <v>807</v>
      </c>
      <c r="AA50" s="2" t="s">
        <v>808</v>
      </c>
      <c r="AB50" s="2" t="s">
        <v>695</v>
      </c>
      <c r="AC50" s="2" t="s">
        <v>611</v>
      </c>
      <c r="AD50" s="2" t="s">
        <v>711</v>
      </c>
      <c r="AE50" s="2" t="s">
        <v>223</v>
      </c>
      <c r="AF50" s="2" t="s">
        <v>224</v>
      </c>
      <c r="AG50" s="2" t="s">
        <v>2</v>
      </c>
      <c r="AH50" s="2" t="s">
        <v>225</v>
      </c>
      <c r="AI50" s="2" t="s">
        <v>193</v>
      </c>
    </row>
    <row r="51" spans="1:35">
      <c r="A51" s="2" t="s">
        <v>809</v>
      </c>
      <c r="B51" s="2" t="s">
        <v>810</v>
      </c>
      <c r="C51" s="4" t="s">
        <v>811</v>
      </c>
      <c r="D51" s="4" t="s">
        <v>812</v>
      </c>
      <c r="E51" s="2" t="s">
        <v>813</v>
      </c>
      <c r="F51" s="2" t="s">
        <v>199</v>
      </c>
      <c r="G51" s="2" t="s">
        <v>814</v>
      </c>
      <c r="H51" s="2" t="s">
        <v>815</v>
      </c>
      <c r="I51" s="4" t="s">
        <v>816</v>
      </c>
      <c r="J51" s="2" t="s">
        <v>2</v>
      </c>
      <c r="K51" s="2" t="s">
        <v>88</v>
      </c>
      <c r="L51" s="2">
        <v>3</v>
      </c>
      <c r="M51" s="2" t="s">
        <v>114</v>
      </c>
      <c r="N51" s="2" t="s">
        <v>177</v>
      </c>
      <c r="O51" s="2" t="s">
        <v>817</v>
      </c>
      <c r="P51" s="2" t="s">
        <v>219</v>
      </c>
      <c r="Q51" s="2" t="s">
        <v>769</v>
      </c>
      <c r="R51" s="2" t="s">
        <v>181</v>
      </c>
      <c r="S51" s="2" t="s">
        <v>82</v>
      </c>
      <c r="T51" s="2" t="s">
        <v>818</v>
      </c>
      <c r="U51" s="2" t="s">
        <v>183</v>
      </c>
      <c r="V51" s="2" t="s">
        <v>183</v>
      </c>
      <c r="W51" s="2" t="s">
        <v>183</v>
      </c>
      <c r="X51" s="2" t="s">
        <v>205</v>
      </c>
      <c r="Y51" s="2" t="s">
        <v>184</v>
      </c>
      <c r="Z51" s="2" t="s">
        <v>819</v>
      </c>
      <c r="AA51" s="2" t="s">
        <v>820</v>
      </c>
      <c r="AB51" s="2" t="s">
        <v>574</v>
      </c>
      <c r="AC51" s="2" t="s">
        <v>188</v>
      </c>
      <c r="AE51" s="2" t="s">
        <v>223</v>
      </c>
      <c r="AF51" s="2" t="s">
        <v>224</v>
      </c>
      <c r="AG51" s="2" t="s">
        <v>2</v>
      </c>
      <c r="AH51" s="2" t="s">
        <v>225</v>
      </c>
      <c r="AI51" s="2" t="s">
        <v>193</v>
      </c>
    </row>
    <row r="52" spans="1:35">
      <c r="A52" s="2" t="s">
        <v>821</v>
      </c>
      <c r="B52" s="2" t="s">
        <v>822</v>
      </c>
      <c r="C52" s="4" t="s">
        <v>823</v>
      </c>
      <c r="D52" s="4" t="s">
        <v>824</v>
      </c>
      <c r="E52" s="2" t="s">
        <v>825</v>
      </c>
      <c r="F52" s="2" t="s">
        <v>199</v>
      </c>
      <c r="G52" s="2" t="s">
        <v>826</v>
      </c>
      <c r="H52" s="2" t="s">
        <v>827</v>
      </c>
      <c r="I52" s="4" t="s">
        <v>828</v>
      </c>
      <c r="J52" s="2" t="s">
        <v>2</v>
      </c>
      <c r="K52" s="2" t="s">
        <v>88</v>
      </c>
      <c r="L52" s="2">
        <v>3</v>
      </c>
      <c r="M52" s="2" t="s">
        <v>132</v>
      </c>
      <c r="N52" s="2" t="s">
        <v>177</v>
      </c>
      <c r="O52" s="2" t="s">
        <v>829</v>
      </c>
      <c r="P52" s="2" t="s">
        <v>219</v>
      </c>
      <c r="Q52" s="2" t="s">
        <v>769</v>
      </c>
      <c r="R52" s="2" t="s">
        <v>181</v>
      </c>
      <c r="S52" s="2" t="s">
        <v>82</v>
      </c>
      <c r="T52" s="2" t="s">
        <v>830</v>
      </c>
      <c r="U52" s="2" t="s">
        <v>183</v>
      </c>
      <c r="V52" s="2" t="s">
        <v>183</v>
      </c>
      <c r="W52" s="2" t="s">
        <v>183</v>
      </c>
      <c r="X52" s="2" t="s">
        <v>339</v>
      </c>
      <c r="Y52" s="2" t="s">
        <v>184</v>
      </c>
      <c r="Z52" s="2" t="s">
        <v>831</v>
      </c>
      <c r="AA52" s="2" t="s">
        <v>832</v>
      </c>
      <c r="AB52" s="2" t="s">
        <v>461</v>
      </c>
      <c r="AC52" s="2" t="s">
        <v>188</v>
      </c>
      <c r="AD52" s="2" t="s">
        <v>463</v>
      </c>
      <c r="AE52" s="2" t="s">
        <v>223</v>
      </c>
      <c r="AF52" s="2" t="s">
        <v>224</v>
      </c>
      <c r="AG52" s="2" t="s">
        <v>2</v>
      </c>
      <c r="AH52" s="2" t="s">
        <v>225</v>
      </c>
      <c r="AI52" s="2" t="s">
        <v>193</v>
      </c>
    </row>
    <row r="53" spans="1:35">
      <c r="A53" s="2" t="s">
        <v>833</v>
      </c>
      <c r="B53" s="2" t="s">
        <v>834</v>
      </c>
      <c r="C53" s="7" t="s">
        <v>835</v>
      </c>
      <c r="D53" s="7" t="s">
        <v>836</v>
      </c>
      <c r="E53" s="6" t="s">
        <v>837</v>
      </c>
      <c r="F53" s="7" t="s">
        <v>838</v>
      </c>
      <c r="G53" s="2" t="s">
        <v>839</v>
      </c>
      <c r="H53" s="2" t="s">
        <v>840</v>
      </c>
      <c r="I53" s="4" t="s">
        <v>841</v>
      </c>
      <c r="J53" s="7" t="s">
        <v>2</v>
      </c>
      <c r="K53" s="7" t="s">
        <v>217</v>
      </c>
      <c r="L53" s="2">
        <v>3</v>
      </c>
      <c r="M53" s="2" t="s">
        <v>120</v>
      </c>
      <c r="N53" s="2" t="s">
        <v>177</v>
      </c>
      <c r="O53" s="2" t="s">
        <v>842</v>
      </c>
      <c r="P53" s="2" t="s">
        <v>272</v>
      </c>
      <c r="Q53" s="2" t="s">
        <v>769</v>
      </c>
      <c r="R53" s="2" t="s">
        <v>261</v>
      </c>
      <c r="S53" s="2" t="s">
        <v>84</v>
      </c>
      <c r="T53" s="2" t="s">
        <v>843</v>
      </c>
      <c r="U53" s="2" t="s">
        <v>183</v>
      </c>
      <c r="V53" s="2" t="s">
        <v>183</v>
      </c>
      <c r="W53" s="2" t="s">
        <v>183</v>
      </c>
      <c r="X53" s="2" t="s">
        <v>205</v>
      </c>
      <c r="Y53" s="2" t="s">
        <v>205</v>
      </c>
      <c r="Z53" s="2" t="s">
        <v>844</v>
      </c>
      <c r="AA53" s="2" t="s">
        <v>845</v>
      </c>
      <c r="AB53" s="2" t="s">
        <v>695</v>
      </c>
      <c r="AC53" s="2" t="s">
        <v>369</v>
      </c>
      <c r="AE53" s="2" t="s">
        <v>223</v>
      </c>
      <c r="AF53" s="2" t="s">
        <v>224</v>
      </c>
      <c r="AG53" s="2" t="s">
        <v>2</v>
      </c>
      <c r="AH53" s="2" t="s">
        <v>225</v>
      </c>
      <c r="AI53" s="2" t="s">
        <v>342</v>
      </c>
    </row>
    <row r="54" spans="1:35">
      <c r="A54" s="2" t="s">
        <v>846</v>
      </c>
      <c r="B54" s="2" t="s">
        <v>847</v>
      </c>
      <c r="C54" s="7" t="s">
        <v>848</v>
      </c>
      <c r="D54" s="7" t="s">
        <v>849</v>
      </c>
      <c r="E54" s="6" t="s">
        <v>256</v>
      </c>
      <c r="F54" s="7" t="s">
        <v>213</v>
      </c>
      <c r="G54" s="2" t="s">
        <v>850</v>
      </c>
      <c r="H54" s="2" t="s">
        <v>851</v>
      </c>
      <c r="I54" s="4" t="s">
        <v>852</v>
      </c>
      <c r="J54" s="7" t="s">
        <v>2</v>
      </c>
      <c r="K54" s="7" t="s">
        <v>217</v>
      </c>
      <c r="L54" s="2">
        <v>3</v>
      </c>
      <c r="M54" s="2" t="s">
        <v>132</v>
      </c>
      <c r="N54" s="2" t="s">
        <v>177</v>
      </c>
      <c r="O54" s="2" t="s">
        <v>853</v>
      </c>
      <c r="P54" s="2" t="s">
        <v>706</v>
      </c>
      <c r="Q54" s="2" t="s">
        <v>769</v>
      </c>
      <c r="R54" s="2" t="s">
        <v>181</v>
      </c>
      <c r="S54" s="2" t="s">
        <v>82</v>
      </c>
      <c r="T54" s="2" t="s">
        <v>854</v>
      </c>
      <c r="U54" s="2" t="s">
        <v>183</v>
      </c>
      <c r="V54" s="2" t="s">
        <v>183</v>
      </c>
      <c r="W54" s="2" t="s">
        <v>183</v>
      </c>
      <c r="X54" s="2" t="s">
        <v>339</v>
      </c>
      <c r="Y54" s="2" t="s">
        <v>184</v>
      </c>
      <c r="Z54" s="2" t="s">
        <v>855</v>
      </c>
      <c r="AA54" s="2" t="s">
        <v>856</v>
      </c>
      <c r="AB54" s="2" t="s">
        <v>857</v>
      </c>
      <c r="AC54" s="2" t="s">
        <v>327</v>
      </c>
      <c r="AD54" s="2" t="s">
        <v>711</v>
      </c>
      <c r="AE54" s="2" t="s">
        <v>223</v>
      </c>
      <c r="AF54" s="2" t="s">
        <v>224</v>
      </c>
      <c r="AG54" s="2" t="s">
        <v>2</v>
      </c>
      <c r="AH54" s="2" t="s">
        <v>225</v>
      </c>
      <c r="AI54" s="2" t="s">
        <v>193</v>
      </c>
    </row>
    <row r="55" spans="1:35">
      <c r="A55" s="2" t="s">
        <v>858</v>
      </c>
      <c r="B55" s="2" t="s">
        <v>859</v>
      </c>
      <c r="C55" s="7" t="s">
        <v>860</v>
      </c>
      <c r="D55" s="7" t="s">
        <v>861</v>
      </c>
      <c r="E55" s="6" t="s">
        <v>256</v>
      </c>
      <c r="F55" s="7" t="s">
        <v>213</v>
      </c>
      <c r="G55" s="2" t="s">
        <v>862</v>
      </c>
      <c r="H55" s="2" t="s">
        <v>863</v>
      </c>
      <c r="I55" s="4" t="s">
        <v>864</v>
      </c>
      <c r="J55" s="7" t="s">
        <v>2</v>
      </c>
      <c r="K55" s="7" t="s">
        <v>217</v>
      </c>
      <c r="L55" s="2">
        <v>3</v>
      </c>
      <c r="M55" s="2" t="s">
        <v>114</v>
      </c>
      <c r="N55" s="2" t="s">
        <v>177</v>
      </c>
      <c r="O55" s="2" t="s">
        <v>719</v>
      </c>
      <c r="P55" s="2" t="s">
        <v>179</v>
      </c>
      <c r="Q55" s="2" t="s">
        <v>769</v>
      </c>
      <c r="R55" s="2" t="s">
        <v>181</v>
      </c>
      <c r="S55" s="2" t="s">
        <v>84</v>
      </c>
      <c r="T55" s="2" t="s">
        <v>865</v>
      </c>
      <c r="U55" s="2" t="s">
        <v>183</v>
      </c>
      <c r="V55" s="2" t="s">
        <v>183</v>
      </c>
      <c r="W55" s="2" t="s">
        <v>183</v>
      </c>
      <c r="X55" s="2" t="s">
        <v>339</v>
      </c>
      <c r="Y55" s="2" t="s">
        <v>184</v>
      </c>
      <c r="Z55" s="2" t="s">
        <v>866</v>
      </c>
      <c r="AA55" s="2" t="s">
        <v>867</v>
      </c>
      <c r="AB55" s="2" t="s">
        <v>516</v>
      </c>
      <c r="AC55" s="2" t="s">
        <v>773</v>
      </c>
      <c r="AE55" s="2" t="s">
        <v>223</v>
      </c>
      <c r="AF55" s="2" t="s">
        <v>224</v>
      </c>
      <c r="AG55" s="2" t="s">
        <v>2</v>
      </c>
      <c r="AH55" s="2" t="s">
        <v>225</v>
      </c>
      <c r="AI55" s="2" t="s">
        <v>193</v>
      </c>
    </row>
    <row r="56" spans="1:35">
      <c r="A56" s="2" t="s">
        <v>868</v>
      </c>
      <c r="B56" s="2" t="s">
        <v>869</v>
      </c>
      <c r="C56" s="7" t="s">
        <v>870</v>
      </c>
      <c r="D56" s="7" t="s">
        <v>871</v>
      </c>
      <c r="E56" s="6" t="s">
        <v>872</v>
      </c>
      <c r="F56" s="7" t="s">
        <v>213</v>
      </c>
      <c r="G56" s="2" t="s">
        <v>873</v>
      </c>
      <c r="H56" s="2" t="s">
        <v>874</v>
      </c>
      <c r="I56" s="4" t="s">
        <v>875</v>
      </c>
      <c r="J56" s="7" t="s">
        <v>2</v>
      </c>
      <c r="K56" s="7" t="s">
        <v>217</v>
      </c>
      <c r="L56" s="2">
        <v>3</v>
      </c>
      <c r="M56" s="2" t="s">
        <v>132</v>
      </c>
      <c r="N56" s="2" t="s">
        <v>177</v>
      </c>
      <c r="O56" s="2" t="s">
        <v>472</v>
      </c>
      <c r="P56" s="2" t="s">
        <v>179</v>
      </c>
      <c r="Q56" s="2" t="s">
        <v>769</v>
      </c>
      <c r="R56" s="2" t="s">
        <v>181</v>
      </c>
      <c r="S56" s="2" t="s">
        <v>84</v>
      </c>
      <c r="T56" s="2" t="s">
        <v>876</v>
      </c>
      <c r="U56" s="2" t="s">
        <v>183</v>
      </c>
      <c r="V56" s="2" t="s">
        <v>183</v>
      </c>
      <c r="W56" s="2" t="s">
        <v>183</v>
      </c>
      <c r="X56" s="2" t="s">
        <v>339</v>
      </c>
      <c r="Y56" s="2" t="s">
        <v>184</v>
      </c>
      <c r="Z56" s="2" t="s">
        <v>877</v>
      </c>
      <c r="AA56" s="2" t="s">
        <v>878</v>
      </c>
      <c r="AB56" s="2" t="s">
        <v>314</v>
      </c>
      <c r="AC56" s="2" t="s">
        <v>462</v>
      </c>
      <c r="AE56" s="2" t="s">
        <v>223</v>
      </c>
      <c r="AF56" s="2" t="s">
        <v>224</v>
      </c>
      <c r="AG56" s="2" t="s">
        <v>2</v>
      </c>
      <c r="AH56" s="2" t="s">
        <v>225</v>
      </c>
      <c r="AI56" s="2" t="s">
        <v>193</v>
      </c>
    </row>
    <row r="57" spans="1:35">
      <c r="A57" s="2" t="s">
        <v>879</v>
      </c>
      <c r="B57" s="2" t="s">
        <v>880</v>
      </c>
      <c r="C57" s="2" t="s">
        <v>881</v>
      </c>
      <c r="D57" s="2" t="s">
        <v>882</v>
      </c>
      <c r="E57" t="s">
        <v>883</v>
      </c>
      <c r="F57" s="2" t="s">
        <v>213</v>
      </c>
      <c r="G57" s="2" t="s">
        <v>884</v>
      </c>
      <c r="H57" s="2" t="s">
        <v>885</v>
      </c>
      <c r="I57" s="4" t="s">
        <v>886</v>
      </c>
      <c r="J57" s="2" t="s">
        <v>2</v>
      </c>
      <c r="K57" s="2" t="s">
        <v>88</v>
      </c>
      <c r="L57" s="2">
        <v>3</v>
      </c>
      <c r="M57" s="2" t="s">
        <v>132</v>
      </c>
      <c r="N57" s="2" t="s">
        <v>218</v>
      </c>
      <c r="O57" s="2" t="s">
        <v>887</v>
      </c>
      <c r="P57" s="2" t="s">
        <v>404</v>
      </c>
      <c r="Q57" s="2" t="s">
        <v>769</v>
      </c>
      <c r="R57" s="2" t="s">
        <v>181</v>
      </c>
      <c r="S57" s="2" t="s">
        <v>84</v>
      </c>
      <c r="T57" s="2" t="s">
        <v>888</v>
      </c>
      <c r="U57" s="2" t="s">
        <v>183</v>
      </c>
      <c r="V57" s="2" t="s">
        <v>183</v>
      </c>
      <c r="W57" s="2" t="s">
        <v>183</v>
      </c>
      <c r="X57" s="2" t="s">
        <v>339</v>
      </c>
      <c r="Y57" s="2" t="s">
        <v>184</v>
      </c>
      <c r="Z57" s="2" t="s">
        <v>889</v>
      </c>
      <c r="AA57" s="2" t="s">
        <v>890</v>
      </c>
      <c r="AB57" s="2" t="s">
        <v>461</v>
      </c>
      <c r="AC57" s="2" t="s">
        <v>327</v>
      </c>
      <c r="AE57" s="2" t="s">
        <v>223</v>
      </c>
      <c r="AF57" s="2" t="s">
        <v>224</v>
      </c>
      <c r="AG57" s="2" t="s">
        <v>2</v>
      </c>
      <c r="AH57" s="2" t="s">
        <v>225</v>
      </c>
      <c r="AI57" s="2" t="s">
        <v>193</v>
      </c>
    </row>
    <row r="58" spans="1:35">
      <c r="A58" s="2" t="s">
        <v>891</v>
      </c>
      <c r="B58" s="2" t="s">
        <v>892</v>
      </c>
      <c r="C58" s="2" t="s">
        <v>893</v>
      </c>
      <c r="D58" s="2" t="s">
        <v>894</v>
      </c>
      <c r="E58" t="s">
        <v>895</v>
      </c>
      <c r="F58" s="2" t="s">
        <v>213</v>
      </c>
      <c r="G58" s="2" t="s">
        <v>896</v>
      </c>
      <c r="H58" s="2" t="s">
        <v>897</v>
      </c>
      <c r="I58" s="4" t="s">
        <v>898</v>
      </c>
      <c r="J58" s="2" t="s">
        <v>2</v>
      </c>
      <c r="K58" s="2" t="s">
        <v>88</v>
      </c>
      <c r="L58" s="2">
        <v>3</v>
      </c>
      <c r="M58" s="2" t="s">
        <v>120</v>
      </c>
      <c r="N58" s="2" t="s">
        <v>218</v>
      </c>
      <c r="O58" s="2" t="s">
        <v>899</v>
      </c>
      <c r="P58" s="2" t="s">
        <v>404</v>
      </c>
      <c r="Q58" s="2" t="s">
        <v>900</v>
      </c>
      <c r="R58" s="2" t="s">
        <v>181</v>
      </c>
      <c r="S58" s="2" t="s">
        <v>86</v>
      </c>
      <c r="T58" s="2" t="s">
        <v>901</v>
      </c>
      <c r="U58" s="2" t="s">
        <v>183</v>
      </c>
      <c r="V58" s="2" t="s">
        <v>183</v>
      </c>
      <c r="W58" s="2" t="s">
        <v>183</v>
      </c>
      <c r="X58" s="2" t="s">
        <v>339</v>
      </c>
      <c r="Y58" s="2" t="s">
        <v>205</v>
      </c>
      <c r="Z58" s="2" t="s">
        <v>902</v>
      </c>
      <c r="AA58" s="2" t="s">
        <v>903</v>
      </c>
      <c r="AB58" s="2" t="s">
        <v>516</v>
      </c>
      <c r="AC58" s="2" t="s">
        <v>369</v>
      </c>
      <c r="AE58" s="2" t="s">
        <v>223</v>
      </c>
      <c r="AF58" s="2" t="s">
        <v>224</v>
      </c>
      <c r="AG58" s="2" t="s">
        <v>2</v>
      </c>
      <c r="AH58" s="2" t="s">
        <v>225</v>
      </c>
      <c r="AI58" s="2" t="s">
        <v>193</v>
      </c>
    </row>
    <row r="59" spans="1:35">
      <c r="A59" s="2" t="s">
        <v>904</v>
      </c>
      <c r="B59" s="2" t="s">
        <v>905</v>
      </c>
      <c r="C59" s="2" t="s">
        <v>15</v>
      </c>
      <c r="D59" s="2" t="s">
        <v>906</v>
      </c>
      <c r="E59" t="s">
        <v>907</v>
      </c>
      <c r="F59" s="2" t="s">
        <v>838</v>
      </c>
      <c r="G59" s="2" t="s">
        <v>908</v>
      </c>
      <c r="H59" s="2" t="s">
        <v>909</v>
      </c>
      <c r="I59" s="4" t="s">
        <v>910</v>
      </c>
      <c r="J59" s="2" t="s">
        <v>2</v>
      </c>
      <c r="K59" s="2" t="s">
        <v>88</v>
      </c>
      <c r="L59" s="2">
        <v>3</v>
      </c>
      <c r="M59" s="2" t="s">
        <v>132</v>
      </c>
      <c r="N59" s="2" t="s">
        <v>218</v>
      </c>
      <c r="O59" s="2" t="s">
        <v>911</v>
      </c>
      <c r="P59" s="2" t="s">
        <v>179</v>
      </c>
      <c r="Q59" s="2" t="s">
        <v>769</v>
      </c>
      <c r="R59" s="2" t="s">
        <v>181</v>
      </c>
      <c r="S59" s="2" t="s">
        <v>84</v>
      </c>
      <c r="T59" s="2" t="s">
        <v>912</v>
      </c>
      <c r="U59" s="2" t="s">
        <v>183</v>
      </c>
      <c r="V59" s="2" t="s">
        <v>183</v>
      </c>
      <c r="W59" s="2" t="s">
        <v>183</v>
      </c>
      <c r="X59" s="2" t="s">
        <v>339</v>
      </c>
      <c r="Y59" s="2" t="s">
        <v>184</v>
      </c>
      <c r="Z59" s="2" t="s">
        <v>913</v>
      </c>
      <c r="AA59" s="2" t="s">
        <v>914</v>
      </c>
      <c r="AB59" s="2" t="s">
        <v>915</v>
      </c>
      <c r="AC59" s="2" t="s">
        <v>916</v>
      </c>
      <c r="AE59" s="2" t="s">
        <v>223</v>
      </c>
      <c r="AF59" s="2" t="s">
        <v>224</v>
      </c>
      <c r="AG59" s="2" t="s">
        <v>2</v>
      </c>
      <c r="AH59" s="2" t="s">
        <v>225</v>
      </c>
      <c r="AI59" s="2" t="s">
        <v>342</v>
      </c>
    </row>
    <row r="60" spans="1:35">
      <c r="A60" s="2" t="s">
        <v>917</v>
      </c>
      <c r="B60" s="2" t="s">
        <v>918</v>
      </c>
      <c r="C60" s="2" t="s">
        <v>919</v>
      </c>
      <c r="D60" s="2" t="s">
        <v>920</v>
      </c>
      <c r="E60" t="s">
        <v>921</v>
      </c>
      <c r="F60" s="2" t="s">
        <v>213</v>
      </c>
      <c r="G60" s="2" t="s">
        <v>922</v>
      </c>
      <c r="H60" s="2" t="s">
        <v>923</v>
      </c>
      <c r="I60" s="4" t="s">
        <v>924</v>
      </c>
      <c r="J60" s="2" t="s">
        <v>2</v>
      </c>
      <c r="K60" s="2" t="s">
        <v>88</v>
      </c>
      <c r="L60" s="2">
        <v>3</v>
      </c>
      <c r="M60" s="2" t="s">
        <v>114</v>
      </c>
      <c r="N60" s="2" t="s">
        <v>218</v>
      </c>
      <c r="O60" s="2" t="s">
        <v>582</v>
      </c>
      <c r="P60" s="2" t="s">
        <v>219</v>
      </c>
      <c r="Q60" s="2" t="s">
        <v>769</v>
      </c>
      <c r="R60" s="2" t="s">
        <v>181</v>
      </c>
      <c r="S60" s="2" t="s">
        <v>84</v>
      </c>
      <c r="T60" s="2" t="s">
        <v>925</v>
      </c>
      <c r="U60" s="2" t="s">
        <v>183</v>
      </c>
      <c r="V60" s="2" t="s">
        <v>183</v>
      </c>
      <c r="W60" s="2" t="s">
        <v>183</v>
      </c>
      <c r="X60" s="2" t="s">
        <v>339</v>
      </c>
      <c r="Y60" s="2" t="s">
        <v>184</v>
      </c>
      <c r="Z60" s="2" t="s">
        <v>926</v>
      </c>
      <c r="AA60" s="2" t="s">
        <v>927</v>
      </c>
      <c r="AB60" s="2" t="s">
        <v>574</v>
      </c>
      <c r="AC60" s="2" t="s">
        <v>327</v>
      </c>
      <c r="AE60" s="2" t="s">
        <v>223</v>
      </c>
      <c r="AF60" s="2" t="s">
        <v>224</v>
      </c>
      <c r="AG60" s="2" t="s">
        <v>2</v>
      </c>
      <c r="AH60" s="2" t="s">
        <v>225</v>
      </c>
      <c r="AI60" s="2" t="s">
        <v>193</v>
      </c>
    </row>
    <row r="61" spans="1:35">
      <c r="A61" s="2" t="s">
        <v>928</v>
      </c>
      <c r="B61" s="2" t="s">
        <v>929</v>
      </c>
      <c r="C61" s="7" t="s">
        <v>930</v>
      </c>
      <c r="D61" s="7" t="s">
        <v>931</v>
      </c>
      <c r="E61" s="6" t="s">
        <v>388</v>
      </c>
      <c r="F61" s="7" t="s">
        <v>333</v>
      </c>
      <c r="G61" s="2" t="s">
        <v>932</v>
      </c>
      <c r="H61" s="2" t="s">
        <v>933</v>
      </c>
      <c r="I61" s="4" t="s">
        <v>934</v>
      </c>
      <c r="J61" s="7" t="s">
        <v>2</v>
      </c>
      <c r="K61" s="7" t="s">
        <v>217</v>
      </c>
      <c r="L61" s="2">
        <v>4</v>
      </c>
      <c r="M61" s="2" t="s">
        <v>111</v>
      </c>
      <c r="N61" s="2" t="s">
        <v>177</v>
      </c>
      <c r="O61" s="2" t="s">
        <v>178</v>
      </c>
      <c r="P61" s="2" t="s">
        <v>179</v>
      </c>
      <c r="Q61" s="2" t="s">
        <v>935</v>
      </c>
      <c r="R61" s="2" t="s">
        <v>181</v>
      </c>
      <c r="S61" s="2" t="s">
        <v>82</v>
      </c>
      <c r="T61" s="2" t="s">
        <v>936</v>
      </c>
      <c r="U61" s="2" t="s">
        <v>183</v>
      </c>
      <c r="V61" s="2" t="s">
        <v>183</v>
      </c>
      <c r="W61" s="2" t="s">
        <v>183</v>
      </c>
      <c r="X61" s="2" t="s">
        <v>184</v>
      </c>
      <c r="Y61" s="2" t="s">
        <v>184</v>
      </c>
      <c r="Z61" s="2" t="s">
        <v>937</v>
      </c>
      <c r="AA61" s="2" t="s">
        <v>938</v>
      </c>
      <c r="AB61" s="2" t="s">
        <v>939</v>
      </c>
      <c r="AC61" s="2" t="s">
        <v>301</v>
      </c>
      <c r="AE61" s="2" t="s">
        <v>223</v>
      </c>
      <c r="AF61" s="2" t="s">
        <v>224</v>
      </c>
      <c r="AG61" s="2" t="s">
        <v>2</v>
      </c>
      <c r="AH61" s="2" t="s">
        <v>225</v>
      </c>
      <c r="AI61" s="2" t="s">
        <v>342</v>
      </c>
    </row>
    <row r="62" spans="1:35">
      <c r="A62" s="2" t="s">
        <v>940</v>
      </c>
      <c r="B62" s="2" t="s">
        <v>941</v>
      </c>
      <c r="C62" s="7" t="s">
        <v>942</v>
      </c>
      <c r="D62" s="7" t="s">
        <v>943</v>
      </c>
      <c r="E62" s="6" t="s">
        <v>256</v>
      </c>
      <c r="F62" s="7" t="s">
        <v>213</v>
      </c>
      <c r="G62" s="2" t="s">
        <v>944</v>
      </c>
      <c r="H62" s="2" t="s">
        <v>945</v>
      </c>
      <c r="I62" s="4" t="s">
        <v>946</v>
      </c>
      <c r="J62" s="7" t="s">
        <v>2</v>
      </c>
      <c r="K62" s="7" t="s">
        <v>217</v>
      </c>
      <c r="L62" s="2">
        <v>4</v>
      </c>
      <c r="M62" s="2" t="s">
        <v>111</v>
      </c>
      <c r="N62" s="2" t="s">
        <v>177</v>
      </c>
      <c r="O62" s="2" t="s">
        <v>203</v>
      </c>
      <c r="P62" s="2" t="s">
        <v>272</v>
      </c>
      <c r="Q62" s="2" t="s">
        <v>935</v>
      </c>
      <c r="R62" s="2" t="s">
        <v>234</v>
      </c>
      <c r="S62" s="2" t="s">
        <v>84</v>
      </c>
      <c r="T62" s="2" t="s">
        <v>947</v>
      </c>
      <c r="U62" s="2" t="s">
        <v>183</v>
      </c>
      <c r="V62" s="2" t="s">
        <v>183</v>
      </c>
      <c r="W62" s="2" t="s">
        <v>183</v>
      </c>
      <c r="X62" s="2" t="s">
        <v>184</v>
      </c>
      <c r="Y62" s="2" t="s">
        <v>205</v>
      </c>
      <c r="Z62" s="2" t="s">
        <v>948</v>
      </c>
      <c r="AA62" s="2" t="s">
        <v>949</v>
      </c>
      <c r="AB62" s="2" t="s">
        <v>939</v>
      </c>
      <c r="AC62" s="2" t="s">
        <v>950</v>
      </c>
      <c r="AE62" s="2" t="s">
        <v>223</v>
      </c>
      <c r="AF62" s="2" t="s">
        <v>224</v>
      </c>
      <c r="AG62" s="2" t="s">
        <v>2</v>
      </c>
      <c r="AH62" s="2" t="s">
        <v>225</v>
      </c>
      <c r="AI62" s="2" t="s">
        <v>193</v>
      </c>
    </row>
    <row r="63" spans="1:35">
      <c r="A63" s="2" t="s">
        <v>951</v>
      </c>
      <c r="B63" s="2" t="s">
        <v>952</v>
      </c>
      <c r="C63" s="7" t="s">
        <v>953</v>
      </c>
      <c r="D63" s="7" t="s">
        <v>954</v>
      </c>
      <c r="E63" s="6" t="s">
        <v>955</v>
      </c>
      <c r="F63" s="7" t="s">
        <v>956</v>
      </c>
      <c r="G63" s="2" t="s">
        <v>957</v>
      </c>
      <c r="H63" s="2" t="s">
        <v>958</v>
      </c>
      <c r="I63" s="4" t="s">
        <v>959</v>
      </c>
      <c r="J63" s="7" t="s">
        <v>2</v>
      </c>
      <c r="K63" s="7" t="s">
        <v>217</v>
      </c>
      <c r="L63" s="2">
        <v>4</v>
      </c>
      <c r="M63" s="2" t="s">
        <v>111</v>
      </c>
      <c r="N63" s="2" t="s">
        <v>177</v>
      </c>
      <c r="O63" s="2" t="s">
        <v>960</v>
      </c>
      <c r="P63" s="2" t="s">
        <v>179</v>
      </c>
      <c r="Q63" s="2" t="s">
        <v>935</v>
      </c>
      <c r="R63" s="2" t="s">
        <v>181</v>
      </c>
      <c r="S63" s="2" t="s">
        <v>82</v>
      </c>
      <c r="T63" s="2" t="s">
        <v>961</v>
      </c>
      <c r="U63" s="2" t="s">
        <v>183</v>
      </c>
      <c r="V63" s="2" t="s">
        <v>183</v>
      </c>
      <c r="W63" s="2" t="s">
        <v>183</v>
      </c>
      <c r="X63" s="2" t="s">
        <v>205</v>
      </c>
      <c r="Y63" s="2" t="s">
        <v>184</v>
      </c>
      <c r="Z63" s="2" t="s">
        <v>962</v>
      </c>
      <c r="AA63" s="2" t="s">
        <v>963</v>
      </c>
      <c r="AB63" s="2" t="s">
        <v>939</v>
      </c>
      <c r="AC63" s="2" t="s">
        <v>462</v>
      </c>
      <c r="AE63" s="2" t="s">
        <v>223</v>
      </c>
      <c r="AF63" s="2" t="s">
        <v>224</v>
      </c>
      <c r="AG63" s="2" t="s">
        <v>2</v>
      </c>
      <c r="AH63" s="2" t="s">
        <v>225</v>
      </c>
      <c r="AI63" s="2" t="s">
        <v>193</v>
      </c>
    </row>
    <row r="64" spans="1:35">
      <c r="A64" s="2" t="s">
        <v>964</v>
      </c>
      <c r="B64" s="2" t="s">
        <v>965</v>
      </c>
      <c r="C64" s="7" t="s">
        <v>966</v>
      </c>
      <c r="D64" s="7" t="s">
        <v>967</v>
      </c>
      <c r="E64" s="6" t="s">
        <v>256</v>
      </c>
      <c r="F64" s="7" t="s">
        <v>213</v>
      </c>
      <c r="G64" s="2" t="s">
        <v>968</v>
      </c>
      <c r="H64" s="2" t="s">
        <v>969</v>
      </c>
      <c r="I64" s="4" t="s">
        <v>970</v>
      </c>
      <c r="J64" s="7" t="s">
        <v>2</v>
      </c>
      <c r="K64" s="7" t="s">
        <v>217</v>
      </c>
      <c r="L64" s="2">
        <v>4</v>
      </c>
      <c r="M64" s="2" t="s">
        <v>111</v>
      </c>
      <c r="N64" s="2" t="s">
        <v>177</v>
      </c>
      <c r="O64" s="2" t="s">
        <v>971</v>
      </c>
      <c r="P64" s="2" t="s">
        <v>272</v>
      </c>
      <c r="Q64" s="2" t="s">
        <v>935</v>
      </c>
      <c r="R64" s="2" t="s">
        <v>261</v>
      </c>
      <c r="S64" s="2" t="s">
        <v>84</v>
      </c>
      <c r="T64" s="2" t="s">
        <v>972</v>
      </c>
      <c r="U64" s="2" t="s">
        <v>183</v>
      </c>
      <c r="V64" s="2" t="s">
        <v>183</v>
      </c>
      <c r="W64" s="2" t="s">
        <v>183</v>
      </c>
      <c r="X64" s="2" t="s">
        <v>205</v>
      </c>
      <c r="Y64" s="2" t="s">
        <v>184</v>
      </c>
      <c r="Z64" s="2" t="s">
        <v>973</v>
      </c>
      <c r="AA64" s="2" t="s">
        <v>974</v>
      </c>
      <c r="AB64" s="2" t="s">
        <v>939</v>
      </c>
      <c r="AC64" s="2" t="s">
        <v>477</v>
      </c>
      <c r="AE64" s="2" t="s">
        <v>223</v>
      </c>
      <c r="AF64" s="2" t="s">
        <v>224</v>
      </c>
      <c r="AG64" s="2" t="s">
        <v>2</v>
      </c>
      <c r="AH64" s="2" t="s">
        <v>225</v>
      </c>
      <c r="AI64" s="2" t="s">
        <v>193</v>
      </c>
    </row>
    <row r="65" spans="1:35">
      <c r="A65" s="2" t="s">
        <v>975</v>
      </c>
      <c r="B65" s="2" t="s">
        <v>976</v>
      </c>
      <c r="C65" s="7" t="s">
        <v>977</v>
      </c>
      <c r="D65" s="7" t="s">
        <v>978</v>
      </c>
      <c r="E65" s="6" t="s">
        <v>256</v>
      </c>
      <c r="F65" s="7" t="s">
        <v>213</v>
      </c>
      <c r="G65" s="2" t="s">
        <v>979</v>
      </c>
      <c r="H65" s="2" t="s">
        <v>980</v>
      </c>
      <c r="I65" s="4" t="s">
        <v>981</v>
      </c>
      <c r="J65" s="7" t="s">
        <v>2</v>
      </c>
      <c r="K65" s="7" t="s">
        <v>217</v>
      </c>
      <c r="L65" s="2">
        <v>4</v>
      </c>
      <c r="M65" s="2" t="s">
        <v>111</v>
      </c>
      <c r="N65" s="2" t="s">
        <v>177</v>
      </c>
      <c r="O65" s="2" t="s">
        <v>971</v>
      </c>
      <c r="P65" s="2" t="s">
        <v>272</v>
      </c>
      <c r="Q65" s="2" t="s">
        <v>935</v>
      </c>
      <c r="R65" s="2" t="s">
        <v>261</v>
      </c>
      <c r="S65" s="2" t="s">
        <v>84</v>
      </c>
      <c r="T65" s="2" t="s">
        <v>982</v>
      </c>
      <c r="U65" s="2" t="s">
        <v>183</v>
      </c>
      <c r="V65" s="2" t="s">
        <v>183</v>
      </c>
      <c r="W65" s="2" t="s">
        <v>183</v>
      </c>
      <c r="X65" s="2" t="s">
        <v>205</v>
      </c>
      <c r="Y65" s="2" t="s">
        <v>184</v>
      </c>
      <c r="Z65" s="2" t="s">
        <v>983</v>
      </c>
      <c r="AA65" s="2" t="s">
        <v>984</v>
      </c>
      <c r="AB65" s="2" t="s">
        <v>939</v>
      </c>
      <c r="AC65" s="2" t="s">
        <v>462</v>
      </c>
      <c r="AE65" s="2" t="s">
        <v>223</v>
      </c>
      <c r="AF65" s="2" t="s">
        <v>224</v>
      </c>
      <c r="AG65" s="2" t="s">
        <v>2</v>
      </c>
      <c r="AH65" s="2" t="s">
        <v>225</v>
      </c>
      <c r="AI65" s="2" t="s">
        <v>193</v>
      </c>
    </row>
    <row r="66" spans="1:35">
      <c r="A66" s="2" t="s">
        <v>985</v>
      </c>
      <c r="B66" s="2" t="s">
        <v>986</v>
      </c>
      <c r="C66" s="7" t="s">
        <v>987</v>
      </c>
      <c r="D66" s="7" t="s">
        <v>988</v>
      </c>
      <c r="E66" s="6" t="s">
        <v>347</v>
      </c>
      <c r="F66" s="7" t="s">
        <v>213</v>
      </c>
      <c r="G66" s="2" t="s">
        <v>989</v>
      </c>
      <c r="H66" s="2" t="s">
        <v>990</v>
      </c>
      <c r="I66" s="4" t="s">
        <v>991</v>
      </c>
      <c r="J66" s="7" t="s">
        <v>2</v>
      </c>
      <c r="K66" s="7" t="s">
        <v>217</v>
      </c>
      <c r="L66" s="2">
        <v>4</v>
      </c>
      <c r="M66" s="2" t="s">
        <v>111</v>
      </c>
      <c r="N66" s="2" t="s">
        <v>177</v>
      </c>
      <c r="O66" s="2" t="s">
        <v>363</v>
      </c>
      <c r="P66" s="2" t="s">
        <v>272</v>
      </c>
      <c r="Q66" s="2" t="s">
        <v>935</v>
      </c>
      <c r="R66" s="2" t="s">
        <v>261</v>
      </c>
      <c r="S66" s="2" t="s">
        <v>84</v>
      </c>
      <c r="T66" s="2" t="s">
        <v>992</v>
      </c>
      <c r="U66" s="2" t="s">
        <v>183</v>
      </c>
      <c r="V66" s="2" t="s">
        <v>183</v>
      </c>
      <c r="W66" s="2" t="s">
        <v>183</v>
      </c>
      <c r="X66" s="2" t="s">
        <v>339</v>
      </c>
      <c r="Y66" s="2" t="s">
        <v>184</v>
      </c>
      <c r="Z66" s="2" t="s">
        <v>993</v>
      </c>
      <c r="AA66" s="2" t="s">
        <v>994</v>
      </c>
      <c r="AB66" s="2" t="s">
        <v>939</v>
      </c>
      <c r="AC66" s="2" t="s">
        <v>611</v>
      </c>
      <c r="AE66" s="2" t="s">
        <v>223</v>
      </c>
      <c r="AF66" s="2" t="s">
        <v>224</v>
      </c>
      <c r="AG66" s="2" t="s">
        <v>2</v>
      </c>
      <c r="AH66" s="2" t="s">
        <v>225</v>
      </c>
      <c r="AI66" s="2" t="s">
        <v>193</v>
      </c>
    </row>
    <row r="67" spans="1:35">
      <c r="A67" s="2" t="s">
        <v>995</v>
      </c>
      <c r="B67" s="2" t="s">
        <v>996</v>
      </c>
      <c r="C67" s="2" t="s">
        <v>997</v>
      </c>
      <c r="D67" s="2" t="s">
        <v>998</v>
      </c>
      <c r="E67" t="s">
        <v>999</v>
      </c>
      <c r="F67" s="2" t="s">
        <v>213</v>
      </c>
      <c r="G67" s="2" t="s">
        <v>1000</v>
      </c>
      <c r="H67" s="2" t="s">
        <v>1001</v>
      </c>
      <c r="I67" s="4" t="s">
        <v>1002</v>
      </c>
      <c r="J67" s="2" t="s">
        <v>2</v>
      </c>
      <c r="K67" s="2" t="s">
        <v>88</v>
      </c>
      <c r="L67" s="2">
        <v>4</v>
      </c>
      <c r="M67" s="2" t="s">
        <v>111</v>
      </c>
      <c r="N67" s="2" t="s">
        <v>218</v>
      </c>
      <c r="O67" s="2" t="s">
        <v>971</v>
      </c>
      <c r="P67" s="2" t="s">
        <v>404</v>
      </c>
      <c r="Q67" s="2" t="s">
        <v>935</v>
      </c>
      <c r="R67" s="2" t="s">
        <v>181</v>
      </c>
      <c r="S67" s="2" t="s">
        <v>84</v>
      </c>
      <c r="T67" s="2" t="s">
        <v>1003</v>
      </c>
      <c r="U67" s="2" t="s">
        <v>183</v>
      </c>
      <c r="V67" s="2" t="s">
        <v>183</v>
      </c>
      <c r="W67" s="2" t="s">
        <v>183</v>
      </c>
      <c r="X67" s="2" t="s">
        <v>205</v>
      </c>
      <c r="Y67" s="2" t="s">
        <v>205</v>
      </c>
      <c r="Z67" s="2" t="s">
        <v>1004</v>
      </c>
      <c r="AA67" s="2" t="s">
        <v>1005</v>
      </c>
      <c r="AC67" s="2" t="s">
        <v>773</v>
      </c>
      <c r="AE67" s="2" t="s">
        <v>223</v>
      </c>
      <c r="AF67" s="2" t="s">
        <v>224</v>
      </c>
      <c r="AG67" s="2" t="s">
        <v>2</v>
      </c>
      <c r="AH67" s="2" t="s">
        <v>225</v>
      </c>
      <c r="AI67" s="2" t="s">
        <v>193</v>
      </c>
    </row>
    <row r="68" spans="1:35">
      <c r="A68" s="2" t="s">
        <v>1006</v>
      </c>
      <c r="B68" s="2" t="s">
        <v>1007</v>
      </c>
      <c r="C68" s="2" t="s">
        <v>1008</v>
      </c>
      <c r="D68" s="2" t="s">
        <v>1009</v>
      </c>
      <c r="E68" t="s">
        <v>256</v>
      </c>
      <c r="F68" s="2" t="s">
        <v>213</v>
      </c>
      <c r="G68" s="2" t="s">
        <v>1010</v>
      </c>
      <c r="H68" s="2" t="s">
        <v>1011</v>
      </c>
      <c r="I68" s="4" t="s">
        <v>1012</v>
      </c>
      <c r="J68" s="2" t="s">
        <v>2</v>
      </c>
      <c r="K68" s="2" t="s">
        <v>88</v>
      </c>
      <c r="L68" s="2">
        <v>4</v>
      </c>
      <c r="M68" s="2" t="s">
        <v>105</v>
      </c>
      <c r="N68" s="2" t="s">
        <v>218</v>
      </c>
      <c r="O68" s="2" t="s">
        <v>203</v>
      </c>
      <c r="P68" s="2" t="s">
        <v>272</v>
      </c>
      <c r="Q68" s="2" t="s">
        <v>935</v>
      </c>
      <c r="R68" s="2" t="s">
        <v>261</v>
      </c>
      <c r="S68" s="2" t="s">
        <v>84</v>
      </c>
      <c r="T68" s="2" t="s">
        <v>1013</v>
      </c>
      <c r="U68" s="2" t="s">
        <v>183</v>
      </c>
      <c r="V68" s="2" t="s">
        <v>183</v>
      </c>
      <c r="W68" s="2" t="s">
        <v>183</v>
      </c>
      <c r="X68" s="2" t="s">
        <v>205</v>
      </c>
      <c r="Y68" s="2" t="s">
        <v>205</v>
      </c>
      <c r="Z68" s="2" t="s">
        <v>1014</v>
      </c>
      <c r="AA68" s="2" t="s">
        <v>1015</v>
      </c>
      <c r="AC68" s="2" t="s">
        <v>315</v>
      </c>
      <c r="AE68" s="2" t="s">
        <v>223</v>
      </c>
      <c r="AF68" s="2" t="s">
        <v>224</v>
      </c>
      <c r="AG68" s="2" t="s">
        <v>2</v>
      </c>
      <c r="AH68" s="2" t="s">
        <v>225</v>
      </c>
      <c r="AI68" s="2" t="s">
        <v>193</v>
      </c>
    </row>
    <row r="69" spans="1:35">
      <c r="A69" s="2" t="s">
        <v>1016</v>
      </c>
      <c r="B69" s="2" t="s">
        <v>1017</v>
      </c>
      <c r="C69" s="2" t="s">
        <v>1018</v>
      </c>
      <c r="D69" s="2" t="s">
        <v>1019</v>
      </c>
      <c r="E69" t="s">
        <v>1020</v>
      </c>
      <c r="F69" s="2" t="s">
        <v>213</v>
      </c>
      <c r="G69" s="2" t="s">
        <v>1021</v>
      </c>
      <c r="H69" s="2" t="s">
        <v>1022</v>
      </c>
      <c r="I69" s="4" t="s">
        <v>1023</v>
      </c>
      <c r="J69" s="2" t="s">
        <v>2</v>
      </c>
      <c r="K69" s="2" t="s">
        <v>88</v>
      </c>
      <c r="L69" s="2">
        <v>4</v>
      </c>
      <c r="M69" s="2" t="s">
        <v>111</v>
      </c>
      <c r="N69" s="2" t="s">
        <v>218</v>
      </c>
      <c r="O69" s="2" t="s">
        <v>1024</v>
      </c>
      <c r="P69" s="2" t="s">
        <v>219</v>
      </c>
      <c r="Q69" s="2" t="s">
        <v>935</v>
      </c>
      <c r="R69" s="2" t="s">
        <v>181</v>
      </c>
      <c r="S69" s="2" t="s">
        <v>86</v>
      </c>
      <c r="T69" s="2" t="s">
        <v>1025</v>
      </c>
      <c r="U69" s="2" t="s">
        <v>183</v>
      </c>
      <c r="V69" s="2" t="s">
        <v>183</v>
      </c>
      <c r="W69" s="2" t="s">
        <v>183</v>
      </c>
      <c r="X69" s="2" t="s">
        <v>339</v>
      </c>
      <c r="Y69" s="2" t="s">
        <v>205</v>
      </c>
      <c r="Z69" s="2" t="s">
        <v>1026</v>
      </c>
      <c r="AA69" s="2" t="s">
        <v>1027</v>
      </c>
      <c r="AC69" s="2" t="s">
        <v>1028</v>
      </c>
      <c r="AE69" s="2" t="s">
        <v>223</v>
      </c>
      <c r="AF69" s="2" t="s">
        <v>224</v>
      </c>
      <c r="AG69" s="2" t="s">
        <v>2</v>
      </c>
      <c r="AH69" s="2" t="s">
        <v>225</v>
      </c>
      <c r="AI69" s="2" t="s">
        <v>193</v>
      </c>
    </row>
    <row r="70" spans="1:35">
      <c r="A70" s="2" t="s">
        <v>1029</v>
      </c>
      <c r="B70" s="2" t="s">
        <v>1030</v>
      </c>
      <c r="C70" s="2" t="s">
        <v>1031</v>
      </c>
      <c r="D70" s="2" t="s">
        <v>1032</v>
      </c>
      <c r="E70" t="s">
        <v>388</v>
      </c>
      <c r="F70" s="2" t="s">
        <v>333</v>
      </c>
      <c r="G70" s="2" t="s">
        <v>1033</v>
      </c>
      <c r="H70" s="2" t="s">
        <v>1034</v>
      </c>
      <c r="I70" s="4" t="s">
        <v>1035</v>
      </c>
      <c r="J70" s="2" t="s">
        <v>2</v>
      </c>
      <c r="K70" s="2" t="s">
        <v>88</v>
      </c>
      <c r="L70" s="2">
        <v>4</v>
      </c>
      <c r="M70" s="2" t="s">
        <v>111</v>
      </c>
      <c r="N70" s="2" t="s">
        <v>218</v>
      </c>
      <c r="O70" s="2" t="s">
        <v>178</v>
      </c>
      <c r="P70" s="2" t="s">
        <v>179</v>
      </c>
      <c r="Q70" s="2" t="s">
        <v>1036</v>
      </c>
      <c r="R70" s="2" t="s">
        <v>181</v>
      </c>
      <c r="S70" s="2" t="s">
        <v>84</v>
      </c>
      <c r="T70" s="2" t="s">
        <v>1037</v>
      </c>
      <c r="U70" s="2" t="s">
        <v>183</v>
      </c>
      <c r="V70" s="2" t="s">
        <v>183</v>
      </c>
      <c r="W70" s="2" t="s">
        <v>183</v>
      </c>
      <c r="X70" s="2" t="s">
        <v>205</v>
      </c>
      <c r="Y70" s="2" t="s">
        <v>205</v>
      </c>
      <c r="Z70" s="2" t="s">
        <v>1038</v>
      </c>
      <c r="AA70" s="2" t="s">
        <v>1039</v>
      </c>
      <c r="AC70" s="2" t="s">
        <v>301</v>
      </c>
      <c r="AE70" s="2" t="s">
        <v>190</v>
      </c>
      <c r="AF70" s="2" t="s">
        <v>191</v>
      </c>
      <c r="AG70" s="2" t="s">
        <v>2</v>
      </c>
      <c r="AH70" s="2" t="s">
        <v>192</v>
      </c>
      <c r="AI70" s="2" t="s">
        <v>342</v>
      </c>
    </row>
    <row r="71" spans="1:35">
      <c r="A71" s="2" t="s">
        <v>1040</v>
      </c>
      <c r="B71" s="2" t="s">
        <v>1041</v>
      </c>
      <c r="C71" s="7" t="s">
        <v>1042</v>
      </c>
      <c r="D71" s="7" t="s">
        <v>1043</v>
      </c>
      <c r="E71" s="6" t="s">
        <v>1044</v>
      </c>
      <c r="F71" s="7" t="s">
        <v>213</v>
      </c>
      <c r="G71" s="2" t="s">
        <v>1045</v>
      </c>
      <c r="H71" s="2" t="s">
        <v>1046</v>
      </c>
      <c r="I71" s="4" t="s">
        <v>1047</v>
      </c>
      <c r="J71" s="7" t="s">
        <v>2</v>
      </c>
      <c r="K71" s="7" t="s">
        <v>217</v>
      </c>
      <c r="L71" s="2">
        <v>5</v>
      </c>
      <c r="M71" s="2" t="s">
        <v>114</v>
      </c>
      <c r="N71" s="2" t="s">
        <v>177</v>
      </c>
      <c r="O71" s="2" t="s">
        <v>1048</v>
      </c>
      <c r="P71" s="2" t="s">
        <v>179</v>
      </c>
      <c r="Q71" s="2" t="s">
        <v>365</v>
      </c>
      <c r="R71" s="2" t="s">
        <v>181</v>
      </c>
      <c r="S71" s="2" t="s">
        <v>82</v>
      </c>
      <c r="T71" s="2" t="s">
        <v>1049</v>
      </c>
      <c r="U71" s="2" t="s">
        <v>183</v>
      </c>
      <c r="V71" s="2" t="s">
        <v>183</v>
      </c>
      <c r="W71" s="2" t="s">
        <v>183</v>
      </c>
      <c r="X71" s="2" t="s">
        <v>339</v>
      </c>
      <c r="Y71" s="2" t="s">
        <v>184</v>
      </c>
      <c r="Z71" s="2" t="s">
        <v>1050</v>
      </c>
      <c r="AA71" s="2" t="s">
        <v>1051</v>
      </c>
      <c r="AB71" s="2" t="s">
        <v>695</v>
      </c>
      <c r="AC71" s="2" t="s">
        <v>773</v>
      </c>
      <c r="AD71" s="2" t="s">
        <v>302</v>
      </c>
      <c r="AE71" s="2" t="s">
        <v>370</v>
      </c>
      <c r="AF71" s="2" t="s">
        <v>371</v>
      </c>
      <c r="AG71" s="2" t="s">
        <v>2</v>
      </c>
      <c r="AH71" s="2" t="s">
        <v>372</v>
      </c>
      <c r="AI71" s="2" t="s">
        <v>193</v>
      </c>
    </row>
    <row r="72" spans="1:35">
      <c r="A72" s="2" t="s">
        <v>1052</v>
      </c>
      <c r="B72" s="2" t="s">
        <v>1053</v>
      </c>
      <c r="C72" s="7" t="s">
        <v>1054</v>
      </c>
      <c r="D72" s="7" t="s">
        <v>1055</v>
      </c>
      <c r="E72" s="6" t="s">
        <v>1056</v>
      </c>
      <c r="F72" s="7" t="s">
        <v>213</v>
      </c>
      <c r="G72" s="2" t="s">
        <v>1057</v>
      </c>
      <c r="H72" s="2" t="s">
        <v>1058</v>
      </c>
      <c r="I72" s="4" t="s">
        <v>1059</v>
      </c>
      <c r="J72" s="7" t="s">
        <v>2</v>
      </c>
      <c r="K72" s="7" t="s">
        <v>217</v>
      </c>
      <c r="L72" s="2">
        <v>5</v>
      </c>
      <c r="M72" s="2" t="s">
        <v>114</v>
      </c>
      <c r="N72" s="2" t="s">
        <v>177</v>
      </c>
      <c r="O72" s="2" t="s">
        <v>405</v>
      </c>
      <c r="P72" s="2" t="s">
        <v>404</v>
      </c>
      <c r="Q72" s="2" t="s">
        <v>1060</v>
      </c>
      <c r="R72" s="2" t="s">
        <v>181</v>
      </c>
      <c r="S72" s="2" t="s">
        <v>82</v>
      </c>
      <c r="T72" s="2" t="s">
        <v>1061</v>
      </c>
      <c r="U72" s="2" t="s">
        <v>183</v>
      </c>
      <c r="V72" s="2" t="s">
        <v>183</v>
      </c>
      <c r="W72" s="2" t="s">
        <v>183</v>
      </c>
      <c r="X72" s="2" t="s">
        <v>339</v>
      </c>
      <c r="Y72" s="2" t="s">
        <v>184</v>
      </c>
      <c r="Z72" s="2" t="s">
        <v>1062</v>
      </c>
      <c r="AA72" s="2" t="s">
        <v>1063</v>
      </c>
      <c r="AB72" s="2" t="s">
        <v>695</v>
      </c>
      <c r="AC72" s="2" t="s">
        <v>773</v>
      </c>
      <c r="AE72" s="2" t="s">
        <v>412</v>
      </c>
      <c r="AF72" s="2" t="s">
        <v>191</v>
      </c>
      <c r="AG72" s="2" t="s">
        <v>2</v>
      </c>
      <c r="AH72" s="2" t="s">
        <v>192</v>
      </c>
      <c r="AI72" s="2" t="s">
        <v>193</v>
      </c>
    </row>
    <row r="73" spans="1:35">
      <c r="A73" s="2" t="s">
        <v>1064</v>
      </c>
      <c r="B73" s="2" t="s">
        <v>1065</v>
      </c>
      <c r="C73" s="7" t="s">
        <v>1066</v>
      </c>
      <c r="D73" s="7" t="s">
        <v>1067</v>
      </c>
      <c r="E73" s="6" t="s">
        <v>256</v>
      </c>
      <c r="F73" s="7" t="s">
        <v>213</v>
      </c>
      <c r="G73" s="2" t="s">
        <v>1068</v>
      </c>
      <c r="H73" s="2" t="s">
        <v>1069</v>
      </c>
      <c r="I73" s="4" t="s">
        <v>1070</v>
      </c>
      <c r="J73" s="7" t="s">
        <v>2</v>
      </c>
      <c r="K73" s="7" t="s">
        <v>217</v>
      </c>
      <c r="L73" s="2">
        <v>5</v>
      </c>
      <c r="M73" s="2" t="s">
        <v>114</v>
      </c>
      <c r="N73" s="2" t="s">
        <v>177</v>
      </c>
      <c r="O73" s="2" t="s">
        <v>1071</v>
      </c>
      <c r="P73" s="2" t="s">
        <v>272</v>
      </c>
      <c r="Q73" s="2" t="s">
        <v>1060</v>
      </c>
      <c r="R73" s="2" t="s">
        <v>261</v>
      </c>
      <c r="S73" s="2" t="s">
        <v>84</v>
      </c>
      <c r="T73" s="2" t="s">
        <v>1072</v>
      </c>
      <c r="U73" s="2" t="s">
        <v>183</v>
      </c>
      <c r="V73" s="2" t="s">
        <v>183</v>
      </c>
      <c r="W73" s="2" t="s">
        <v>183</v>
      </c>
      <c r="X73" s="2" t="s">
        <v>339</v>
      </c>
      <c r="Y73" s="2" t="s">
        <v>205</v>
      </c>
      <c r="Z73" s="2" t="s">
        <v>1073</v>
      </c>
      <c r="AA73" s="2" t="s">
        <v>1074</v>
      </c>
      <c r="AC73" s="2" t="s">
        <v>773</v>
      </c>
      <c r="AE73" s="2" t="s">
        <v>223</v>
      </c>
      <c r="AF73" s="2" t="s">
        <v>224</v>
      </c>
      <c r="AG73" s="2" t="s">
        <v>2</v>
      </c>
      <c r="AH73" s="2" t="s">
        <v>225</v>
      </c>
      <c r="AI73" s="2" t="s">
        <v>193</v>
      </c>
    </row>
    <row r="74" spans="1:35">
      <c r="A74" s="2" t="s">
        <v>1075</v>
      </c>
      <c r="B74" s="2" t="s">
        <v>1076</v>
      </c>
      <c r="C74" s="7" t="s">
        <v>1077</v>
      </c>
      <c r="D74" s="7" t="s">
        <v>1078</v>
      </c>
      <c r="E74" s="6" t="s">
        <v>230</v>
      </c>
      <c r="F74" s="7" t="s">
        <v>213</v>
      </c>
      <c r="G74" s="2" t="s">
        <v>1079</v>
      </c>
      <c r="H74" s="2" t="s">
        <v>1080</v>
      </c>
      <c r="I74" s="4" t="s">
        <v>1081</v>
      </c>
      <c r="J74" s="7" t="s">
        <v>2</v>
      </c>
      <c r="K74" s="7" t="s">
        <v>217</v>
      </c>
      <c r="L74" s="2">
        <v>5</v>
      </c>
      <c r="M74" s="2" t="s">
        <v>114</v>
      </c>
      <c r="N74" s="2" t="s">
        <v>177</v>
      </c>
      <c r="O74" s="2" t="s">
        <v>1082</v>
      </c>
      <c r="P74" s="2" t="s">
        <v>404</v>
      </c>
      <c r="Q74" s="2" t="s">
        <v>1060</v>
      </c>
      <c r="R74" s="2" t="s">
        <v>181</v>
      </c>
      <c r="S74" s="2" t="s">
        <v>84</v>
      </c>
      <c r="T74" s="2" t="s">
        <v>1083</v>
      </c>
      <c r="U74" s="2" t="s">
        <v>183</v>
      </c>
      <c r="V74" s="2" t="s">
        <v>183</v>
      </c>
      <c r="W74" s="2" t="s">
        <v>183</v>
      </c>
      <c r="X74" s="2" t="s">
        <v>339</v>
      </c>
      <c r="Y74" s="2" t="s">
        <v>205</v>
      </c>
      <c r="Z74" s="2" t="s">
        <v>1084</v>
      </c>
      <c r="AA74" s="2" t="s">
        <v>1085</v>
      </c>
      <c r="AB74" s="2" t="s">
        <v>695</v>
      </c>
      <c r="AC74" s="2" t="s">
        <v>773</v>
      </c>
      <c r="AD74" s="2" t="s">
        <v>302</v>
      </c>
      <c r="AE74" s="2" t="s">
        <v>412</v>
      </c>
      <c r="AF74" s="2" t="s">
        <v>191</v>
      </c>
      <c r="AG74" s="2" t="s">
        <v>2</v>
      </c>
      <c r="AH74" s="2" t="s">
        <v>192</v>
      </c>
      <c r="AI74" s="2" t="s">
        <v>193</v>
      </c>
    </row>
    <row r="75" spans="1:35">
      <c r="A75" s="2" t="s">
        <v>1086</v>
      </c>
      <c r="B75" s="2" t="s">
        <v>1087</v>
      </c>
      <c r="C75" s="7" t="s">
        <v>1088</v>
      </c>
      <c r="D75" s="7" t="s">
        <v>1089</v>
      </c>
      <c r="E75" s="6" t="s">
        <v>663</v>
      </c>
      <c r="F75" s="7" t="s">
        <v>213</v>
      </c>
      <c r="G75" s="2" t="s">
        <v>1090</v>
      </c>
      <c r="H75" s="2" t="s">
        <v>1091</v>
      </c>
      <c r="I75" s="4" t="s">
        <v>1092</v>
      </c>
      <c r="J75" s="7" t="s">
        <v>2</v>
      </c>
      <c r="K75" s="7" t="s">
        <v>217</v>
      </c>
      <c r="L75" s="2">
        <v>5</v>
      </c>
      <c r="M75" s="2" t="s">
        <v>114</v>
      </c>
      <c r="N75" s="2" t="s">
        <v>177</v>
      </c>
      <c r="O75" s="2" t="s">
        <v>405</v>
      </c>
      <c r="P75" s="2" t="s">
        <v>404</v>
      </c>
      <c r="Q75" s="2" t="s">
        <v>273</v>
      </c>
      <c r="R75" s="2" t="s">
        <v>181</v>
      </c>
      <c r="S75" s="2" t="s">
        <v>84</v>
      </c>
      <c r="T75" s="2" t="s">
        <v>1093</v>
      </c>
      <c r="U75" s="2" t="s">
        <v>183</v>
      </c>
      <c r="V75" s="2" t="s">
        <v>183</v>
      </c>
      <c r="W75" s="2" t="s">
        <v>183</v>
      </c>
      <c r="X75" s="2" t="s">
        <v>205</v>
      </c>
      <c r="Y75" s="2" t="s">
        <v>205</v>
      </c>
      <c r="Z75" s="2" t="s">
        <v>1094</v>
      </c>
      <c r="AA75" s="2" t="s">
        <v>1095</v>
      </c>
      <c r="AB75" s="2" t="s">
        <v>695</v>
      </c>
      <c r="AC75" s="2" t="s">
        <v>773</v>
      </c>
      <c r="AE75" s="2" t="s">
        <v>223</v>
      </c>
      <c r="AF75" s="2" t="s">
        <v>224</v>
      </c>
      <c r="AG75" s="2" t="s">
        <v>2</v>
      </c>
      <c r="AH75" s="2" t="s">
        <v>225</v>
      </c>
      <c r="AI75" s="2" t="s">
        <v>193</v>
      </c>
    </row>
    <row r="76" spans="1:35">
      <c r="A76" s="2" t="s">
        <v>1096</v>
      </c>
      <c r="B76" s="2" t="s">
        <v>1097</v>
      </c>
      <c r="C76" s="7" t="s">
        <v>1098</v>
      </c>
      <c r="D76" s="7" t="s">
        <v>1099</v>
      </c>
      <c r="E76" s="6" t="s">
        <v>1100</v>
      </c>
      <c r="F76" s="7" t="s">
        <v>213</v>
      </c>
      <c r="G76" s="2" t="s">
        <v>1101</v>
      </c>
      <c r="H76" s="2" t="s">
        <v>1102</v>
      </c>
      <c r="I76" s="4" t="s">
        <v>1103</v>
      </c>
      <c r="J76" s="7" t="s">
        <v>2</v>
      </c>
      <c r="K76" s="7" t="s">
        <v>217</v>
      </c>
      <c r="L76" s="2">
        <v>5</v>
      </c>
      <c r="M76" s="2" t="s">
        <v>114</v>
      </c>
      <c r="N76" s="2" t="s">
        <v>177</v>
      </c>
      <c r="O76" s="2" t="s">
        <v>1104</v>
      </c>
      <c r="P76" s="2" t="s">
        <v>272</v>
      </c>
      <c r="Q76" s="2" t="s">
        <v>1060</v>
      </c>
      <c r="R76" s="2" t="s">
        <v>261</v>
      </c>
      <c r="S76" s="2" t="s">
        <v>84</v>
      </c>
      <c r="T76" s="2" t="s">
        <v>1105</v>
      </c>
      <c r="U76" s="2" t="s">
        <v>183</v>
      </c>
      <c r="V76" s="2" t="s">
        <v>183</v>
      </c>
      <c r="W76" s="2" t="s">
        <v>183</v>
      </c>
      <c r="X76" s="2" t="s">
        <v>339</v>
      </c>
      <c r="Y76" s="2" t="s">
        <v>205</v>
      </c>
      <c r="Z76" s="2" t="s">
        <v>1106</v>
      </c>
      <c r="AA76" s="2" t="s">
        <v>1107</v>
      </c>
      <c r="AC76" s="2" t="s">
        <v>773</v>
      </c>
      <c r="AE76" s="2" t="s">
        <v>223</v>
      </c>
      <c r="AF76" s="2" t="s">
        <v>224</v>
      </c>
      <c r="AG76" s="2" t="s">
        <v>2</v>
      </c>
      <c r="AH76" s="2" t="s">
        <v>225</v>
      </c>
      <c r="AI76" s="2" t="s">
        <v>193</v>
      </c>
    </row>
    <row r="77" spans="1:35">
      <c r="A77" s="2" t="s">
        <v>1108</v>
      </c>
      <c r="B77" s="2" t="s">
        <v>1109</v>
      </c>
      <c r="C77" s="2" t="s">
        <v>1110</v>
      </c>
      <c r="D77" s="2" t="s">
        <v>1111</v>
      </c>
      <c r="E77" t="s">
        <v>1112</v>
      </c>
      <c r="F77" s="2" t="s">
        <v>1113</v>
      </c>
      <c r="G77" s="2" t="s">
        <v>1114</v>
      </c>
      <c r="H77" s="2" t="s">
        <v>1115</v>
      </c>
      <c r="I77" s="4" t="s">
        <v>1116</v>
      </c>
      <c r="J77" s="2" t="s">
        <v>2</v>
      </c>
      <c r="K77" s="2" t="s">
        <v>88</v>
      </c>
      <c r="L77" s="2">
        <v>5</v>
      </c>
      <c r="M77" s="2" t="s">
        <v>114</v>
      </c>
      <c r="N77" s="2" t="s">
        <v>218</v>
      </c>
      <c r="O77" s="2" t="s">
        <v>1048</v>
      </c>
      <c r="P77" s="2" t="s">
        <v>179</v>
      </c>
      <c r="Q77" s="2" t="s">
        <v>1060</v>
      </c>
      <c r="R77" s="2" t="s">
        <v>181</v>
      </c>
      <c r="S77" s="2" t="s">
        <v>84</v>
      </c>
      <c r="T77" s="2" t="s">
        <v>1117</v>
      </c>
      <c r="U77" s="2" t="s">
        <v>183</v>
      </c>
      <c r="V77" s="2" t="s">
        <v>183</v>
      </c>
      <c r="W77" s="2" t="s">
        <v>183</v>
      </c>
      <c r="X77" s="2" t="s">
        <v>339</v>
      </c>
      <c r="Y77" s="2" t="s">
        <v>205</v>
      </c>
      <c r="Z77" s="2" t="s">
        <v>1118</v>
      </c>
      <c r="AA77" s="2" t="s">
        <v>1119</v>
      </c>
      <c r="AC77" s="2" t="s">
        <v>773</v>
      </c>
      <c r="AE77" s="2" t="s">
        <v>370</v>
      </c>
      <c r="AF77" s="2" t="s">
        <v>371</v>
      </c>
      <c r="AG77" s="2" t="s">
        <v>2</v>
      </c>
      <c r="AH77" s="2" t="s">
        <v>372</v>
      </c>
      <c r="AI77" s="2" t="s">
        <v>342</v>
      </c>
    </row>
    <row r="78" spans="1:35">
      <c r="A78" s="2" t="s">
        <v>1120</v>
      </c>
      <c r="B78" s="2" t="s">
        <v>1121</v>
      </c>
      <c r="C78" s="2" t="s">
        <v>1122</v>
      </c>
      <c r="D78" s="2" t="s">
        <v>1123</v>
      </c>
      <c r="E78" t="s">
        <v>1124</v>
      </c>
      <c r="F78" s="2" t="s">
        <v>213</v>
      </c>
      <c r="G78" s="2" t="s">
        <v>1125</v>
      </c>
      <c r="H78" s="2" t="s">
        <v>1126</v>
      </c>
      <c r="I78" s="4" t="s">
        <v>1127</v>
      </c>
      <c r="J78" s="2" t="s">
        <v>2</v>
      </c>
      <c r="K78" s="2" t="s">
        <v>88</v>
      </c>
      <c r="L78" s="2">
        <v>5</v>
      </c>
      <c r="M78" s="2" t="s">
        <v>114</v>
      </c>
      <c r="N78" s="2" t="s">
        <v>218</v>
      </c>
      <c r="O78" s="2" t="s">
        <v>405</v>
      </c>
      <c r="P78" s="2" t="s">
        <v>404</v>
      </c>
      <c r="Q78" s="2" t="s">
        <v>273</v>
      </c>
      <c r="R78" s="2" t="s">
        <v>181</v>
      </c>
      <c r="S78" s="2" t="s">
        <v>86</v>
      </c>
      <c r="T78" s="2" t="s">
        <v>1128</v>
      </c>
      <c r="U78" s="2" t="s">
        <v>183</v>
      </c>
      <c r="V78" s="2" t="s">
        <v>183</v>
      </c>
      <c r="W78" s="2" t="s">
        <v>183</v>
      </c>
      <c r="X78" s="2" t="s">
        <v>205</v>
      </c>
      <c r="Y78" s="2" t="s">
        <v>339</v>
      </c>
      <c r="Z78" s="2" t="s">
        <v>1129</v>
      </c>
      <c r="AA78" s="2" t="s">
        <v>1130</v>
      </c>
      <c r="AC78" s="2" t="s">
        <v>369</v>
      </c>
      <c r="AE78" s="2" t="s">
        <v>223</v>
      </c>
      <c r="AF78" s="2" t="s">
        <v>224</v>
      </c>
      <c r="AG78" s="2" t="s">
        <v>2</v>
      </c>
      <c r="AH78" s="2" t="s">
        <v>225</v>
      </c>
      <c r="AI78" s="2" t="s">
        <v>193</v>
      </c>
    </row>
    <row r="79" spans="1:35">
      <c r="A79" s="2" t="s">
        <v>1131</v>
      </c>
      <c r="B79" s="2" t="s">
        <v>1132</v>
      </c>
      <c r="C79" s="2" t="s">
        <v>1133</v>
      </c>
      <c r="D79" s="2" t="s">
        <v>1134</v>
      </c>
      <c r="E79" t="s">
        <v>1135</v>
      </c>
      <c r="F79" s="2" t="s">
        <v>838</v>
      </c>
      <c r="G79" s="2" t="s">
        <v>1136</v>
      </c>
      <c r="H79" s="2" t="s">
        <v>1137</v>
      </c>
      <c r="I79" s="4" t="s">
        <v>1138</v>
      </c>
      <c r="J79" s="2" t="s">
        <v>2</v>
      </c>
      <c r="K79" s="2" t="s">
        <v>88</v>
      </c>
      <c r="L79" s="2">
        <v>5</v>
      </c>
      <c r="M79" s="2" t="s">
        <v>114</v>
      </c>
      <c r="N79" s="2" t="s">
        <v>218</v>
      </c>
      <c r="O79" s="2" t="s">
        <v>1139</v>
      </c>
      <c r="P79" s="2" t="s">
        <v>364</v>
      </c>
      <c r="Q79" s="2" t="s">
        <v>1060</v>
      </c>
      <c r="R79" s="2" t="s">
        <v>181</v>
      </c>
      <c r="S79" s="2" t="s">
        <v>84</v>
      </c>
      <c r="T79" s="2" t="s">
        <v>1140</v>
      </c>
      <c r="U79" s="2" t="s">
        <v>183</v>
      </c>
      <c r="V79" s="2" t="s">
        <v>183</v>
      </c>
      <c r="W79" s="2" t="s">
        <v>183</v>
      </c>
      <c r="X79" s="2" t="s">
        <v>339</v>
      </c>
      <c r="Y79" s="2" t="s">
        <v>205</v>
      </c>
      <c r="Z79" s="2" t="s">
        <v>1141</v>
      </c>
      <c r="AA79" s="2" t="s">
        <v>1142</v>
      </c>
      <c r="AC79" s="2" t="s">
        <v>1028</v>
      </c>
      <c r="AE79" s="2" t="s">
        <v>370</v>
      </c>
      <c r="AF79" s="2" t="s">
        <v>371</v>
      </c>
      <c r="AG79" s="2" t="s">
        <v>2</v>
      </c>
      <c r="AH79" s="2" t="s">
        <v>372</v>
      </c>
      <c r="AI79" s="2" t="s">
        <v>342</v>
      </c>
    </row>
    <row r="80" spans="1:35">
      <c r="A80" s="2" t="s">
        <v>1143</v>
      </c>
      <c r="B80" s="2" t="s">
        <v>1144</v>
      </c>
      <c r="C80" s="2" t="s">
        <v>1145</v>
      </c>
      <c r="D80" s="2" t="s">
        <v>1146</v>
      </c>
      <c r="E80" t="s">
        <v>1147</v>
      </c>
      <c r="F80" s="2" t="s">
        <v>333</v>
      </c>
      <c r="G80" s="2" t="s">
        <v>1148</v>
      </c>
      <c r="H80" s="2" t="s">
        <v>1149</v>
      </c>
      <c r="I80" s="4" t="s">
        <v>1150</v>
      </c>
      <c r="J80" s="2" t="s">
        <v>2</v>
      </c>
      <c r="K80" s="2" t="s">
        <v>88</v>
      </c>
      <c r="L80" s="2">
        <v>5</v>
      </c>
      <c r="M80" s="2" t="s">
        <v>114</v>
      </c>
      <c r="N80" s="2" t="s">
        <v>218</v>
      </c>
      <c r="O80" s="2" t="s">
        <v>1151</v>
      </c>
      <c r="P80" s="2" t="s">
        <v>219</v>
      </c>
      <c r="Q80" s="2" t="s">
        <v>1060</v>
      </c>
      <c r="R80" s="2" t="s">
        <v>181</v>
      </c>
      <c r="S80" s="2" t="s">
        <v>86</v>
      </c>
      <c r="T80" s="2" t="s">
        <v>1152</v>
      </c>
      <c r="U80" s="2" t="s">
        <v>183</v>
      </c>
      <c r="V80" s="2" t="s">
        <v>183</v>
      </c>
      <c r="W80" s="2" t="s">
        <v>183</v>
      </c>
      <c r="X80" s="2" t="s">
        <v>339</v>
      </c>
      <c r="Y80" s="2" t="s">
        <v>205</v>
      </c>
      <c r="Z80" s="2" t="s">
        <v>1153</v>
      </c>
      <c r="AA80" s="2" t="s">
        <v>1154</v>
      </c>
      <c r="AC80" s="2" t="s">
        <v>1028</v>
      </c>
      <c r="AE80" s="2" t="s">
        <v>223</v>
      </c>
      <c r="AF80" s="2" t="s">
        <v>224</v>
      </c>
      <c r="AG80" s="2" t="s">
        <v>2</v>
      </c>
      <c r="AH80" s="2" t="s">
        <v>225</v>
      </c>
      <c r="AI80" s="2" t="s">
        <v>342</v>
      </c>
    </row>
    <row r="81" spans="1:35">
      <c r="A81" s="2" t="s">
        <v>1155</v>
      </c>
      <c r="B81" s="2" t="s">
        <v>1156</v>
      </c>
      <c r="C81" s="4" t="s">
        <v>1157</v>
      </c>
      <c r="D81" s="4" t="s">
        <v>1158</v>
      </c>
      <c r="E81" s="2" t="s">
        <v>1159</v>
      </c>
      <c r="F81" s="2" t="s">
        <v>199</v>
      </c>
      <c r="G81" s="2" t="s">
        <v>1160</v>
      </c>
      <c r="H81" s="2" t="s">
        <v>1161</v>
      </c>
      <c r="I81" s="4" t="s">
        <v>1162</v>
      </c>
      <c r="J81" s="2" t="s">
        <v>2</v>
      </c>
      <c r="K81" s="2" t="s">
        <v>88</v>
      </c>
      <c r="L81" s="2">
        <v>6</v>
      </c>
      <c r="M81" s="2" t="s">
        <v>120</v>
      </c>
      <c r="N81" s="2" t="s">
        <v>177</v>
      </c>
      <c r="O81" s="2" t="s">
        <v>1163</v>
      </c>
      <c r="P81" s="2" t="s">
        <v>179</v>
      </c>
      <c r="Q81" s="2" t="s">
        <v>1164</v>
      </c>
      <c r="R81" s="2" t="s">
        <v>181</v>
      </c>
      <c r="S81" s="2" t="s">
        <v>82</v>
      </c>
      <c r="T81" s="2" t="s">
        <v>1165</v>
      </c>
      <c r="U81" s="2" t="s">
        <v>183</v>
      </c>
      <c r="V81" s="2" t="s">
        <v>183</v>
      </c>
      <c r="W81" s="2" t="s">
        <v>183</v>
      </c>
      <c r="X81" s="2" t="s">
        <v>205</v>
      </c>
      <c r="Y81" s="2" t="s">
        <v>184</v>
      </c>
      <c r="Z81" s="2" t="s">
        <v>1166</v>
      </c>
      <c r="AA81" s="2" t="s">
        <v>1167</v>
      </c>
      <c r="AB81" s="2" t="s">
        <v>574</v>
      </c>
      <c r="AC81" s="2" t="s">
        <v>188</v>
      </c>
      <c r="AD81" s="2" t="s">
        <v>189</v>
      </c>
      <c r="AE81" s="2" t="s">
        <v>1168</v>
      </c>
      <c r="AF81" s="2" t="s">
        <v>1169</v>
      </c>
      <c r="AG81" s="2" t="s">
        <v>2</v>
      </c>
      <c r="AH81" s="2" t="s">
        <v>1170</v>
      </c>
      <c r="AI81" s="2" t="s">
        <v>193</v>
      </c>
    </row>
    <row r="82" spans="1:35">
      <c r="A82" s="2" t="s">
        <v>1171</v>
      </c>
      <c r="B82" s="2" t="s">
        <v>1172</v>
      </c>
      <c r="C82" s="7" t="s">
        <v>1173</v>
      </c>
      <c r="D82" s="7" t="s">
        <v>1174</v>
      </c>
      <c r="E82" s="6" t="s">
        <v>1175</v>
      </c>
      <c r="F82" s="7" t="s">
        <v>213</v>
      </c>
      <c r="G82" s="2" t="s">
        <v>1176</v>
      </c>
      <c r="H82" s="2" t="s">
        <v>1177</v>
      </c>
      <c r="I82" s="4" t="s">
        <v>1178</v>
      </c>
      <c r="J82" s="7" t="s">
        <v>2</v>
      </c>
      <c r="K82" s="7" t="s">
        <v>217</v>
      </c>
      <c r="L82" s="2">
        <v>6</v>
      </c>
      <c r="M82" s="2" t="s">
        <v>120</v>
      </c>
      <c r="N82" s="2" t="s">
        <v>177</v>
      </c>
      <c r="O82" s="2" t="s">
        <v>1179</v>
      </c>
      <c r="P82" s="2" t="s">
        <v>219</v>
      </c>
      <c r="Q82" s="2" t="s">
        <v>1164</v>
      </c>
      <c r="R82" s="2" t="s">
        <v>181</v>
      </c>
      <c r="S82" s="2" t="s">
        <v>82</v>
      </c>
      <c r="T82" s="2" t="s">
        <v>1180</v>
      </c>
      <c r="U82" s="2" t="s">
        <v>183</v>
      </c>
      <c r="V82" s="2" t="s">
        <v>183</v>
      </c>
      <c r="W82" s="2" t="s">
        <v>183</v>
      </c>
      <c r="X82" s="2" t="s">
        <v>339</v>
      </c>
      <c r="Y82" s="2" t="s">
        <v>184</v>
      </c>
      <c r="Z82" s="2" t="s">
        <v>1181</v>
      </c>
      <c r="AA82" s="2" t="s">
        <v>1182</v>
      </c>
      <c r="AB82" s="2" t="s">
        <v>574</v>
      </c>
      <c r="AC82" s="2" t="s">
        <v>188</v>
      </c>
      <c r="AE82" s="2" t="s">
        <v>1168</v>
      </c>
      <c r="AF82" s="2" t="s">
        <v>1169</v>
      </c>
      <c r="AG82" s="2" t="s">
        <v>2</v>
      </c>
      <c r="AH82" s="2" t="s">
        <v>1170</v>
      </c>
      <c r="AI82" s="2" t="s">
        <v>193</v>
      </c>
    </row>
    <row r="83" spans="1:35">
      <c r="A83" s="2" t="s">
        <v>1183</v>
      </c>
      <c r="B83" s="2" t="s">
        <v>1184</v>
      </c>
      <c r="C83" s="7" t="s">
        <v>1185</v>
      </c>
      <c r="D83" s="7" t="s">
        <v>1186</v>
      </c>
      <c r="E83" s="6" t="s">
        <v>256</v>
      </c>
      <c r="F83" s="7" t="s">
        <v>213</v>
      </c>
      <c r="G83" s="2" t="s">
        <v>1187</v>
      </c>
      <c r="H83" s="2" t="s">
        <v>1188</v>
      </c>
      <c r="I83" s="4" t="s">
        <v>1189</v>
      </c>
      <c r="J83" s="7" t="s">
        <v>2</v>
      </c>
      <c r="K83" s="7" t="s">
        <v>217</v>
      </c>
      <c r="L83" s="2">
        <v>6</v>
      </c>
      <c r="M83" s="2" t="s">
        <v>120</v>
      </c>
      <c r="N83" s="2" t="s">
        <v>177</v>
      </c>
      <c r="O83" s="2" t="s">
        <v>1190</v>
      </c>
      <c r="P83" s="2" t="s">
        <v>179</v>
      </c>
      <c r="Q83" s="2" t="s">
        <v>1191</v>
      </c>
      <c r="R83" s="2" t="s">
        <v>181</v>
      </c>
      <c r="S83" s="2" t="s">
        <v>82</v>
      </c>
      <c r="T83" s="2" t="s">
        <v>1192</v>
      </c>
      <c r="U83" s="2" t="s">
        <v>183</v>
      </c>
      <c r="V83" s="2" t="s">
        <v>183</v>
      </c>
      <c r="W83" s="2" t="s">
        <v>183</v>
      </c>
      <c r="X83" s="2" t="s">
        <v>205</v>
      </c>
      <c r="Y83" s="2" t="s">
        <v>184</v>
      </c>
      <c r="Z83" s="2" t="s">
        <v>1193</v>
      </c>
      <c r="AA83" s="2" t="s">
        <v>1194</v>
      </c>
      <c r="AB83" s="2" t="s">
        <v>574</v>
      </c>
      <c r="AC83" s="2" t="s">
        <v>539</v>
      </c>
      <c r="AE83" s="2" t="s">
        <v>1168</v>
      </c>
      <c r="AF83" s="2" t="s">
        <v>1169</v>
      </c>
      <c r="AG83" s="2" t="s">
        <v>2</v>
      </c>
      <c r="AH83" s="2" t="s">
        <v>1170</v>
      </c>
      <c r="AI83" s="2" t="s">
        <v>193</v>
      </c>
    </row>
    <row r="84" spans="1:35">
      <c r="A84" s="2" t="s">
        <v>1195</v>
      </c>
      <c r="B84" s="2" t="s">
        <v>1196</v>
      </c>
      <c r="C84" s="4" t="s">
        <v>1197</v>
      </c>
      <c r="D84" s="4" t="s">
        <v>1198</v>
      </c>
      <c r="E84" s="2" t="s">
        <v>1199</v>
      </c>
      <c r="F84" s="2" t="s">
        <v>199</v>
      </c>
      <c r="G84" s="2" t="s">
        <v>1200</v>
      </c>
      <c r="H84" s="2" t="s">
        <v>1201</v>
      </c>
      <c r="I84" s="4" t="s">
        <v>1202</v>
      </c>
      <c r="J84" s="2" t="s">
        <v>2</v>
      </c>
      <c r="K84" s="2" t="s">
        <v>88</v>
      </c>
      <c r="L84" s="2">
        <v>6</v>
      </c>
      <c r="M84" s="2" t="s">
        <v>120</v>
      </c>
      <c r="N84" s="2" t="s">
        <v>177</v>
      </c>
      <c r="O84" s="2" t="s">
        <v>1203</v>
      </c>
      <c r="P84" s="2" t="s">
        <v>219</v>
      </c>
      <c r="Q84" s="2" t="s">
        <v>1204</v>
      </c>
      <c r="R84" s="2" t="s">
        <v>181</v>
      </c>
      <c r="S84" s="2" t="s">
        <v>82</v>
      </c>
      <c r="T84" s="2" t="s">
        <v>1205</v>
      </c>
      <c r="U84" s="2" t="s">
        <v>183</v>
      </c>
      <c r="V84" s="2" t="s">
        <v>183</v>
      </c>
      <c r="W84" s="2" t="s">
        <v>183</v>
      </c>
      <c r="X84" s="2" t="s">
        <v>205</v>
      </c>
      <c r="Y84" s="2" t="s">
        <v>205</v>
      </c>
      <c r="Z84" s="2" t="s">
        <v>1206</v>
      </c>
      <c r="AA84" s="2" t="s">
        <v>1207</v>
      </c>
      <c r="AB84" s="2" t="s">
        <v>574</v>
      </c>
      <c r="AC84" s="2" t="s">
        <v>539</v>
      </c>
      <c r="AE84" s="2" t="s">
        <v>223</v>
      </c>
      <c r="AF84" s="2" t="s">
        <v>224</v>
      </c>
      <c r="AG84" s="2" t="s">
        <v>2</v>
      </c>
      <c r="AH84" s="2" t="s">
        <v>225</v>
      </c>
      <c r="AI84" s="2" t="s">
        <v>193</v>
      </c>
    </row>
    <row r="85" spans="1:35">
      <c r="A85" s="2" t="s">
        <v>1208</v>
      </c>
      <c r="B85" s="2" t="s">
        <v>1209</v>
      </c>
      <c r="C85" s="7" t="s">
        <v>1210</v>
      </c>
      <c r="D85" s="7" t="s">
        <v>1211</v>
      </c>
      <c r="E85" s="6" t="s">
        <v>1212</v>
      </c>
      <c r="F85" s="7" t="s">
        <v>213</v>
      </c>
      <c r="G85" s="2" t="s">
        <v>1213</v>
      </c>
      <c r="H85" s="2" t="s">
        <v>1214</v>
      </c>
      <c r="I85" s="4" t="s">
        <v>1215</v>
      </c>
      <c r="J85" s="7" t="s">
        <v>2</v>
      </c>
      <c r="K85" s="7" t="s">
        <v>217</v>
      </c>
      <c r="L85" s="2">
        <v>6</v>
      </c>
      <c r="M85" s="2" t="s">
        <v>120</v>
      </c>
      <c r="N85" s="2" t="s">
        <v>177</v>
      </c>
      <c r="O85" s="2" t="s">
        <v>842</v>
      </c>
      <c r="P85" s="2" t="s">
        <v>179</v>
      </c>
      <c r="Q85" s="2" t="s">
        <v>1204</v>
      </c>
      <c r="R85" s="2" t="s">
        <v>181</v>
      </c>
      <c r="S85" s="2" t="s">
        <v>84</v>
      </c>
      <c r="T85" s="2" t="s">
        <v>1216</v>
      </c>
      <c r="U85" s="2" t="s">
        <v>183</v>
      </c>
      <c r="V85" s="2" t="s">
        <v>183</v>
      </c>
      <c r="W85" s="2" t="s">
        <v>183</v>
      </c>
      <c r="X85" s="2" t="s">
        <v>205</v>
      </c>
      <c r="Y85" s="2" t="s">
        <v>205</v>
      </c>
      <c r="Z85" s="2" t="s">
        <v>1217</v>
      </c>
      <c r="AA85" s="2" t="s">
        <v>1218</v>
      </c>
      <c r="AB85" s="2" t="s">
        <v>574</v>
      </c>
      <c r="AC85" s="2" t="s">
        <v>539</v>
      </c>
      <c r="AD85" s="2" t="s">
        <v>447</v>
      </c>
      <c r="AE85" s="2" t="s">
        <v>1168</v>
      </c>
      <c r="AF85" s="2" t="s">
        <v>1169</v>
      </c>
      <c r="AG85" s="2" t="s">
        <v>2</v>
      </c>
      <c r="AH85" s="2" t="s">
        <v>1170</v>
      </c>
      <c r="AI85" s="2" t="s">
        <v>193</v>
      </c>
    </row>
    <row r="86" spans="1:35">
      <c r="A86" s="2" t="s">
        <v>1219</v>
      </c>
      <c r="B86" s="2" t="s">
        <v>1220</v>
      </c>
      <c r="C86" s="7" t="s">
        <v>1221</v>
      </c>
      <c r="D86" s="7" t="s">
        <v>1222</v>
      </c>
      <c r="E86" s="6" t="s">
        <v>388</v>
      </c>
      <c r="F86" s="7" t="s">
        <v>333</v>
      </c>
      <c r="G86" s="2" t="s">
        <v>1223</v>
      </c>
      <c r="H86" s="2" t="s">
        <v>1224</v>
      </c>
      <c r="I86" s="4" t="s">
        <v>1225</v>
      </c>
      <c r="J86" s="7" t="s">
        <v>2</v>
      </c>
      <c r="K86" s="7" t="s">
        <v>217</v>
      </c>
      <c r="L86" s="2">
        <v>6</v>
      </c>
      <c r="M86" s="2" t="s">
        <v>132</v>
      </c>
      <c r="N86" s="2" t="s">
        <v>177</v>
      </c>
      <c r="O86" s="2" t="s">
        <v>1226</v>
      </c>
      <c r="P86" s="2" t="s">
        <v>272</v>
      </c>
      <c r="Q86" s="2" t="s">
        <v>1227</v>
      </c>
      <c r="R86" s="2" t="s">
        <v>261</v>
      </c>
      <c r="S86" s="2" t="s">
        <v>84</v>
      </c>
      <c r="T86" s="2" t="s">
        <v>1228</v>
      </c>
      <c r="U86" s="2" t="s">
        <v>183</v>
      </c>
      <c r="V86" s="2" t="s">
        <v>183</v>
      </c>
      <c r="W86" s="2" t="s">
        <v>183</v>
      </c>
      <c r="X86" s="2" t="s">
        <v>339</v>
      </c>
      <c r="Y86" s="2" t="s">
        <v>184</v>
      </c>
      <c r="Z86" s="2" t="s">
        <v>1229</v>
      </c>
      <c r="AA86" s="2" t="s">
        <v>1230</v>
      </c>
      <c r="AB86" s="2" t="s">
        <v>574</v>
      </c>
      <c r="AC86" s="2" t="s">
        <v>327</v>
      </c>
      <c r="AE86" s="2" t="s">
        <v>223</v>
      </c>
      <c r="AF86" s="2" t="s">
        <v>224</v>
      </c>
      <c r="AG86" s="2" t="s">
        <v>2</v>
      </c>
      <c r="AH86" s="2" t="s">
        <v>225</v>
      </c>
      <c r="AI86" s="2" t="s">
        <v>342</v>
      </c>
    </row>
    <row r="87" spans="1:35">
      <c r="A87" s="2" t="s">
        <v>1231</v>
      </c>
      <c r="B87" s="2" t="s">
        <v>1232</v>
      </c>
      <c r="C87" s="2" t="s">
        <v>1233</v>
      </c>
      <c r="D87" s="2" t="s">
        <v>1234</v>
      </c>
      <c r="E87" t="s">
        <v>388</v>
      </c>
      <c r="F87" s="2" t="s">
        <v>333</v>
      </c>
      <c r="G87" s="2" t="s">
        <v>1235</v>
      </c>
      <c r="H87" s="2" t="s">
        <v>1236</v>
      </c>
      <c r="I87" s="4" t="s">
        <v>1237</v>
      </c>
      <c r="J87" s="2" t="s">
        <v>2</v>
      </c>
      <c r="K87" s="2" t="s">
        <v>88</v>
      </c>
      <c r="L87" s="2">
        <v>6</v>
      </c>
      <c r="M87" s="2" t="s">
        <v>120</v>
      </c>
      <c r="N87" s="2" t="s">
        <v>218</v>
      </c>
      <c r="O87" s="2" t="s">
        <v>1238</v>
      </c>
      <c r="P87" s="2" t="s">
        <v>179</v>
      </c>
      <c r="Q87" s="2" t="s">
        <v>1239</v>
      </c>
      <c r="R87" s="2" t="s">
        <v>181</v>
      </c>
      <c r="S87" s="2" t="s">
        <v>84</v>
      </c>
      <c r="T87" s="2" t="s">
        <v>1240</v>
      </c>
      <c r="U87" s="2" t="s">
        <v>183</v>
      </c>
      <c r="V87" s="2" t="s">
        <v>183</v>
      </c>
      <c r="W87" s="2" t="s">
        <v>183</v>
      </c>
      <c r="X87" s="2" t="s">
        <v>339</v>
      </c>
      <c r="Y87" s="2" t="s">
        <v>184</v>
      </c>
      <c r="Z87" s="2" t="s">
        <v>1241</v>
      </c>
      <c r="AA87" s="2" t="s">
        <v>1242</v>
      </c>
      <c r="AB87" s="2" t="s">
        <v>695</v>
      </c>
      <c r="AC87" s="2" t="s">
        <v>369</v>
      </c>
      <c r="AE87" s="2" t="s">
        <v>190</v>
      </c>
      <c r="AF87" s="2" t="s">
        <v>191</v>
      </c>
      <c r="AG87" s="2" t="s">
        <v>2</v>
      </c>
      <c r="AH87" s="2" t="s">
        <v>192</v>
      </c>
      <c r="AI87" s="2" t="s">
        <v>342</v>
      </c>
    </row>
    <row r="88" spans="1:35">
      <c r="A88" s="2" t="s">
        <v>1243</v>
      </c>
      <c r="B88" s="2" t="s">
        <v>1244</v>
      </c>
      <c r="C88" s="2" t="s">
        <v>1245</v>
      </c>
      <c r="D88" s="2" t="s">
        <v>1246</v>
      </c>
      <c r="E88" t="s">
        <v>256</v>
      </c>
      <c r="F88" s="2" t="s">
        <v>213</v>
      </c>
      <c r="G88" s="2" t="s">
        <v>1247</v>
      </c>
      <c r="H88" s="2" t="s">
        <v>1248</v>
      </c>
      <c r="I88" s="4" t="s">
        <v>1249</v>
      </c>
      <c r="J88" s="2" t="s">
        <v>2</v>
      </c>
      <c r="K88" s="2" t="s">
        <v>88</v>
      </c>
      <c r="L88" s="2">
        <v>6</v>
      </c>
      <c r="M88" s="2" t="s">
        <v>132</v>
      </c>
      <c r="N88" s="2" t="s">
        <v>218</v>
      </c>
      <c r="O88" s="2" t="s">
        <v>1250</v>
      </c>
      <c r="P88" s="2" t="s">
        <v>219</v>
      </c>
      <c r="Q88" s="2" t="s">
        <v>1164</v>
      </c>
      <c r="R88" s="2" t="s">
        <v>181</v>
      </c>
      <c r="S88" s="2" t="s">
        <v>84</v>
      </c>
      <c r="T88" s="2" t="s">
        <v>1251</v>
      </c>
      <c r="U88" s="2" t="s">
        <v>183</v>
      </c>
      <c r="V88" s="2" t="s">
        <v>183</v>
      </c>
      <c r="W88" s="2" t="s">
        <v>183</v>
      </c>
      <c r="X88" s="2" t="s">
        <v>339</v>
      </c>
      <c r="Y88" s="2" t="s">
        <v>184</v>
      </c>
      <c r="Z88" s="2" t="s">
        <v>1252</v>
      </c>
      <c r="AA88" s="2" t="s">
        <v>1253</v>
      </c>
      <c r="AB88" s="2" t="s">
        <v>574</v>
      </c>
      <c r="AC88" s="2" t="s">
        <v>327</v>
      </c>
      <c r="AE88" s="2" t="s">
        <v>1168</v>
      </c>
      <c r="AF88" s="2" t="s">
        <v>1169</v>
      </c>
      <c r="AG88" s="2" t="s">
        <v>2</v>
      </c>
      <c r="AH88" s="2" t="s">
        <v>1170</v>
      </c>
      <c r="AI88" s="2" t="s">
        <v>193</v>
      </c>
    </row>
    <row r="89" spans="1:35">
      <c r="A89" s="2" t="s">
        <v>1254</v>
      </c>
      <c r="B89" s="2" t="s">
        <v>1255</v>
      </c>
      <c r="C89" s="2" t="s">
        <v>1256</v>
      </c>
      <c r="D89" s="2" t="s">
        <v>1257</v>
      </c>
      <c r="E89" t="s">
        <v>1258</v>
      </c>
      <c r="F89" s="2" t="s">
        <v>213</v>
      </c>
      <c r="G89" s="2" t="s">
        <v>1259</v>
      </c>
      <c r="H89" s="2" t="s">
        <v>1260</v>
      </c>
      <c r="I89" s="4" t="s">
        <v>1261</v>
      </c>
      <c r="J89" s="2" t="s">
        <v>2</v>
      </c>
      <c r="K89" s="2" t="s">
        <v>88</v>
      </c>
      <c r="L89" s="2">
        <v>6</v>
      </c>
      <c r="M89" s="2" t="s">
        <v>120</v>
      </c>
      <c r="N89" s="2" t="s">
        <v>218</v>
      </c>
      <c r="O89" s="2" t="s">
        <v>1238</v>
      </c>
      <c r="P89" s="2" t="s">
        <v>179</v>
      </c>
      <c r="Q89" s="2" t="s">
        <v>1262</v>
      </c>
      <c r="R89" s="2" t="s">
        <v>181</v>
      </c>
      <c r="S89" s="2" t="s">
        <v>86</v>
      </c>
      <c r="T89" s="2" t="s">
        <v>1263</v>
      </c>
      <c r="U89" s="2" t="s">
        <v>183</v>
      </c>
      <c r="V89" s="2" t="s">
        <v>183</v>
      </c>
      <c r="W89" s="2" t="s">
        <v>183</v>
      </c>
      <c r="X89" s="2" t="s">
        <v>339</v>
      </c>
      <c r="Y89" s="2" t="s">
        <v>205</v>
      </c>
      <c r="Z89" s="2" t="s">
        <v>1264</v>
      </c>
      <c r="AA89" s="2" t="s">
        <v>1265</v>
      </c>
      <c r="AB89" s="2" t="s">
        <v>574</v>
      </c>
      <c r="AC89" s="2" t="s">
        <v>539</v>
      </c>
      <c r="AE89" s="2" t="s">
        <v>1168</v>
      </c>
      <c r="AF89" s="2" t="s">
        <v>1169</v>
      </c>
      <c r="AG89" s="2" t="s">
        <v>2</v>
      </c>
      <c r="AH89" s="2" t="s">
        <v>1170</v>
      </c>
      <c r="AI89" s="2" t="s">
        <v>193</v>
      </c>
    </row>
    <row r="90" spans="1:35">
      <c r="A90" s="2" t="s">
        <v>1266</v>
      </c>
      <c r="B90" s="2" t="s">
        <v>1267</v>
      </c>
      <c r="C90" s="2" t="s">
        <v>1268</v>
      </c>
      <c r="D90" s="2" t="s">
        <v>1269</v>
      </c>
      <c r="E90" t="s">
        <v>1270</v>
      </c>
      <c r="F90" s="2" t="s">
        <v>213</v>
      </c>
      <c r="G90" s="2" t="s">
        <v>1271</v>
      </c>
      <c r="H90" s="2" t="s">
        <v>1272</v>
      </c>
      <c r="I90" s="4" t="s">
        <v>1273</v>
      </c>
      <c r="J90" s="2" t="s">
        <v>2</v>
      </c>
      <c r="K90" s="2" t="s">
        <v>88</v>
      </c>
      <c r="L90" s="2">
        <v>6</v>
      </c>
      <c r="M90" s="2" t="s">
        <v>132</v>
      </c>
      <c r="N90" s="2" t="s">
        <v>218</v>
      </c>
      <c r="O90" s="2" t="s">
        <v>1274</v>
      </c>
      <c r="P90" s="2" t="s">
        <v>179</v>
      </c>
      <c r="Q90" s="2" t="s">
        <v>1275</v>
      </c>
      <c r="R90" s="2" t="s">
        <v>181</v>
      </c>
      <c r="S90" s="2" t="s">
        <v>86</v>
      </c>
      <c r="T90" s="2" t="s">
        <v>1276</v>
      </c>
      <c r="U90" s="2" t="s">
        <v>183</v>
      </c>
      <c r="V90" s="2" t="s">
        <v>183</v>
      </c>
      <c r="W90" s="2" t="s">
        <v>183</v>
      </c>
      <c r="X90" s="2" t="s">
        <v>339</v>
      </c>
      <c r="Y90" s="2" t="s">
        <v>205</v>
      </c>
      <c r="Z90" s="2" t="s">
        <v>1277</v>
      </c>
      <c r="AA90" s="2" t="s">
        <v>1278</v>
      </c>
      <c r="AC90" s="2" t="s">
        <v>622</v>
      </c>
      <c r="AE90" s="2" t="s">
        <v>1168</v>
      </c>
      <c r="AF90" s="2" t="s">
        <v>1169</v>
      </c>
      <c r="AG90" s="2" t="s">
        <v>2</v>
      </c>
      <c r="AH90" s="2" t="s">
        <v>1170</v>
      </c>
      <c r="AI90" s="2" t="s">
        <v>193</v>
      </c>
    </row>
    <row r="91" spans="1:35">
      <c r="A91" s="2" t="s">
        <v>1279</v>
      </c>
      <c r="B91" s="2" t="s">
        <v>1280</v>
      </c>
      <c r="C91" s="7" t="s">
        <v>1281</v>
      </c>
      <c r="D91" s="7" t="s">
        <v>1282</v>
      </c>
      <c r="E91" s="6" t="s">
        <v>256</v>
      </c>
      <c r="F91" s="7" t="s">
        <v>213</v>
      </c>
      <c r="G91" s="2" t="s">
        <v>1283</v>
      </c>
      <c r="H91" s="2" t="s">
        <v>1284</v>
      </c>
      <c r="I91" s="4" t="s">
        <v>1285</v>
      </c>
      <c r="J91" s="7" t="s">
        <v>2</v>
      </c>
      <c r="K91" s="7" t="s">
        <v>217</v>
      </c>
      <c r="L91" s="2">
        <v>7</v>
      </c>
      <c r="M91" s="2" t="s">
        <v>102</v>
      </c>
      <c r="N91" s="2" t="s">
        <v>177</v>
      </c>
      <c r="O91" s="2" t="s">
        <v>1286</v>
      </c>
      <c r="P91" s="2" t="s">
        <v>219</v>
      </c>
      <c r="Q91" s="2" t="s">
        <v>365</v>
      </c>
      <c r="R91" s="2" t="s">
        <v>181</v>
      </c>
      <c r="S91" s="2" t="s">
        <v>82</v>
      </c>
      <c r="T91" s="2" t="s">
        <v>1287</v>
      </c>
      <c r="U91" s="2" t="s">
        <v>183</v>
      </c>
      <c r="V91" s="2" t="s">
        <v>183</v>
      </c>
      <c r="W91" s="2" t="s">
        <v>183</v>
      </c>
      <c r="X91" s="2" t="s">
        <v>205</v>
      </c>
      <c r="Y91" s="2" t="s">
        <v>184</v>
      </c>
      <c r="Z91" s="2" t="s">
        <v>1288</v>
      </c>
      <c r="AA91" s="2" t="s">
        <v>1289</v>
      </c>
      <c r="AB91" s="2" t="s">
        <v>187</v>
      </c>
      <c r="AC91" s="2" t="s">
        <v>539</v>
      </c>
      <c r="AD91" s="2" t="s">
        <v>540</v>
      </c>
      <c r="AE91" s="2" t="s">
        <v>223</v>
      </c>
      <c r="AF91" s="2" t="s">
        <v>224</v>
      </c>
      <c r="AG91" s="2" t="s">
        <v>2</v>
      </c>
      <c r="AH91" s="2" t="s">
        <v>225</v>
      </c>
      <c r="AI91" s="2" t="s">
        <v>193</v>
      </c>
    </row>
    <row r="92" spans="1:35">
      <c r="A92" s="2" t="s">
        <v>1290</v>
      </c>
      <c r="B92" s="2" t="s">
        <v>1291</v>
      </c>
      <c r="C92" s="7" t="s">
        <v>1292</v>
      </c>
      <c r="D92" s="7" t="s">
        <v>1293</v>
      </c>
      <c r="E92" s="6" t="s">
        <v>1294</v>
      </c>
      <c r="F92" s="7" t="s">
        <v>838</v>
      </c>
      <c r="G92" s="2" t="s">
        <v>1295</v>
      </c>
      <c r="H92" s="2" t="s">
        <v>1296</v>
      </c>
      <c r="I92" s="4" t="s">
        <v>1297</v>
      </c>
      <c r="J92" s="7" t="s">
        <v>2</v>
      </c>
      <c r="K92" s="7" t="s">
        <v>217</v>
      </c>
      <c r="L92" s="2">
        <v>7</v>
      </c>
      <c r="M92" s="2" t="s">
        <v>120</v>
      </c>
      <c r="N92" s="2" t="s">
        <v>177</v>
      </c>
      <c r="O92" s="2" t="s">
        <v>246</v>
      </c>
      <c r="P92" s="2" t="s">
        <v>272</v>
      </c>
      <c r="Q92" s="2" t="s">
        <v>273</v>
      </c>
      <c r="R92" s="2" t="s">
        <v>234</v>
      </c>
      <c r="S92" s="2" t="s">
        <v>82</v>
      </c>
      <c r="T92" s="2" t="s">
        <v>1298</v>
      </c>
      <c r="U92" s="2" t="s">
        <v>183</v>
      </c>
      <c r="V92" s="2" t="s">
        <v>183</v>
      </c>
      <c r="W92" s="2" t="s">
        <v>183</v>
      </c>
      <c r="X92" s="2" t="s">
        <v>205</v>
      </c>
      <c r="Y92" s="2" t="s">
        <v>205</v>
      </c>
      <c r="Z92" s="2" t="s">
        <v>1299</v>
      </c>
      <c r="AA92" s="2" t="s">
        <v>1300</v>
      </c>
      <c r="AB92" s="2" t="s">
        <v>187</v>
      </c>
      <c r="AC92" s="2" t="s">
        <v>539</v>
      </c>
      <c r="AE92" s="2" t="s">
        <v>223</v>
      </c>
      <c r="AF92" s="2" t="s">
        <v>224</v>
      </c>
      <c r="AG92" s="2" t="s">
        <v>2</v>
      </c>
      <c r="AH92" s="2" t="s">
        <v>225</v>
      </c>
      <c r="AI92" s="2" t="s">
        <v>342</v>
      </c>
    </row>
    <row r="93" spans="1:35">
      <c r="A93" s="2" t="s">
        <v>1301</v>
      </c>
      <c r="B93" s="2" t="s">
        <v>1302</v>
      </c>
      <c r="C93" s="7" t="s">
        <v>1303</v>
      </c>
      <c r="D93" s="7" t="s">
        <v>1304</v>
      </c>
      <c r="E93" s="6" t="s">
        <v>1305</v>
      </c>
      <c r="F93" s="7" t="s">
        <v>213</v>
      </c>
      <c r="G93" s="2" t="s">
        <v>1306</v>
      </c>
      <c r="H93" s="2" t="s">
        <v>1307</v>
      </c>
      <c r="I93" s="4" t="s">
        <v>1308</v>
      </c>
      <c r="J93" s="7" t="s">
        <v>2</v>
      </c>
      <c r="K93" s="7" t="s">
        <v>217</v>
      </c>
      <c r="L93" s="2">
        <v>7</v>
      </c>
      <c r="M93" s="2" t="s">
        <v>120</v>
      </c>
      <c r="N93" s="2" t="s">
        <v>177</v>
      </c>
      <c r="O93" s="2" t="s">
        <v>1309</v>
      </c>
      <c r="P93" s="2" t="s">
        <v>272</v>
      </c>
      <c r="Q93" s="2" t="s">
        <v>1191</v>
      </c>
      <c r="R93" s="2" t="s">
        <v>261</v>
      </c>
      <c r="S93" s="2" t="s">
        <v>82</v>
      </c>
      <c r="T93" s="2" t="s">
        <v>1310</v>
      </c>
      <c r="U93" s="2" t="s">
        <v>183</v>
      </c>
      <c r="V93" s="2" t="s">
        <v>183</v>
      </c>
      <c r="W93" s="2" t="s">
        <v>183</v>
      </c>
      <c r="X93" s="2" t="s">
        <v>205</v>
      </c>
      <c r="Y93" s="2" t="s">
        <v>184</v>
      </c>
      <c r="Z93" s="2" t="s">
        <v>1311</v>
      </c>
      <c r="AA93" s="2" t="s">
        <v>1312</v>
      </c>
      <c r="AB93" s="2" t="s">
        <v>187</v>
      </c>
      <c r="AC93" s="2" t="s">
        <v>539</v>
      </c>
      <c r="AD93" s="2" t="s">
        <v>540</v>
      </c>
      <c r="AE93" s="2" t="s">
        <v>1168</v>
      </c>
      <c r="AF93" s="2" t="s">
        <v>1169</v>
      </c>
      <c r="AG93" s="2" t="s">
        <v>2</v>
      </c>
      <c r="AH93" s="2" t="s">
        <v>1170</v>
      </c>
      <c r="AI93" s="2" t="s">
        <v>193</v>
      </c>
    </row>
    <row r="94" spans="1:35">
      <c r="A94" s="2" t="s">
        <v>1313</v>
      </c>
      <c r="B94" s="2" t="s">
        <v>1314</v>
      </c>
      <c r="C94" s="7" t="s">
        <v>1315</v>
      </c>
      <c r="D94" s="7" t="s">
        <v>1316</v>
      </c>
      <c r="E94" s="6" t="s">
        <v>256</v>
      </c>
      <c r="F94" s="7" t="s">
        <v>213</v>
      </c>
      <c r="G94" s="2" t="s">
        <v>979</v>
      </c>
      <c r="H94" s="2" t="s">
        <v>1317</v>
      </c>
      <c r="I94" s="4" t="s">
        <v>1318</v>
      </c>
      <c r="J94" s="7" t="s">
        <v>2</v>
      </c>
      <c r="K94" s="7" t="s">
        <v>217</v>
      </c>
      <c r="L94" s="2">
        <v>7</v>
      </c>
      <c r="M94" s="2" t="s">
        <v>123</v>
      </c>
      <c r="N94" s="2" t="s">
        <v>177</v>
      </c>
      <c r="O94" s="2" t="s">
        <v>1319</v>
      </c>
      <c r="P94" s="2" t="s">
        <v>179</v>
      </c>
      <c r="Q94" s="2" t="s">
        <v>365</v>
      </c>
      <c r="R94" s="2" t="s">
        <v>181</v>
      </c>
      <c r="S94" s="2" t="s">
        <v>84</v>
      </c>
      <c r="T94" s="2" t="s">
        <v>1320</v>
      </c>
      <c r="U94" s="2" t="s">
        <v>183</v>
      </c>
      <c r="V94" s="2" t="s">
        <v>183</v>
      </c>
      <c r="W94" s="2" t="s">
        <v>183</v>
      </c>
      <c r="X94" s="2" t="s">
        <v>205</v>
      </c>
      <c r="Y94" s="2" t="s">
        <v>184</v>
      </c>
      <c r="Z94" s="2" t="s">
        <v>1321</v>
      </c>
      <c r="AA94" s="2" t="s">
        <v>1322</v>
      </c>
      <c r="AB94" s="2" t="s">
        <v>187</v>
      </c>
      <c r="AC94" s="2" t="s">
        <v>238</v>
      </c>
      <c r="AE94" s="2" t="s">
        <v>190</v>
      </c>
      <c r="AF94" s="2" t="s">
        <v>191</v>
      </c>
      <c r="AG94" s="2" t="s">
        <v>2</v>
      </c>
      <c r="AH94" s="2" t="s">
        <v>192</v>
      </c>
      <c r="AI94" s="2" t="s">
        <v>193</v>
      </c>
    </row>
    <row r="95" spans="1:35">
      <c r="A95" s="2" t="s">
        <v>1323</v>
      </c>
      <c r="B95" s="2" t="s">
        <v>1324</v>
      </c>
      <c r="C95" s="7" t="s">
        <v>1325</v>
      </c>
      <c r="D95" s="7" t="s">
        <v>1326</v>
      </c>
      <c r="E95" s="6" t="s">
        <v>1327</v>
      </c>
      <c r="F95" s="7" t="s">
        <v>213</v>
      </c>
      <c r="G95" s="2" t="s">
        <v>1328</v>
      </c>
      <c r="H95" s="2" t="s">
        <v>1329</v>
      </c>
      <c r="I95" s="4" t="s">
        <v>1330</v>
      </c>
      <c r="J95" s="7" t="s">
        <v>2</v>
      </c>
      <c r="K95" s="7" t="s">
        <v>217</v>
      </c>
      <c r="L95" s="2">
        <v>7</v>
      </c>
      <c r="M95" s="2" t="s">
        <v>102</v>
      </c>
      <c r="N95" s="2" t="s">
        <v>177</v>
      </c>
      <c r="O95" s="2" t="s">
        <v>595</v>
      </c>
      <c r="P95" s="2" t="s">
        <v>179</v>
      </c>
      <c r="Q95" s="2" t="s">
        <v>1331</v>
      </c>
      <c r="R95" s="2" t="s">
        <v>181</v>
      </c>
      <c r="S95" s="2" t="s">
        <v>84</v>
      </c>
      <c r="T95" s="2" t="s">
        <v>1332</v>
      </c>
      <c r="U95" s="2" t="s">
        <v>183</v>
      </c>
      <c r="V95" s="2" t="s">
        <v>183</v>
      </c>
      <c r="W95" s="2" t="s">
        <v>183</v>
      </c>
      <c r="X95" s="2" t="s">
        <v>205</v>
      </c>
      <c r="Y95" s="2" t="s">
        <v>184</v>
      </c>
      <c r="Z95" s="2" t="s">
        <v>1333</v>
      </c>
      <c r="AA95" s="2" t="s">
        <v>1334</v>
      </c>
      <c r="AB95" s="2" t="s">
        <v>574</v>
      </c>
      <c r="AC95" s="2" t="s">
        <v>539</v>
      </c>
      <c r="AE95" s="2" t="s">
        <v>1168</v>
      </c>
      <c r="AF95" s="2" t="s">
        <v>1169</v>
      </c>
      <c r="AG95" s="2" t="s">
        <v>2</v>
      </c>
      <c r="AH95" s="2" t="s">
        <v>1170</v>
      </c>
      <c r="AI95" s="2" t="s">
        <v>193</v>
      </c>
    </row>
    <row r="96" spans="1:35">
      <c r="A96" s="2" t="s">
        <v>1335</v>
      </c>
      <c r="B96" s="2" t="s">
        <v>1336</v>
      </c>
      <c r="C96" s="7" t="s">
        <v>1337</v>
      </c>
      <c r="D96" s="7" t="s">
        <v>1338</v>
      </c>
      <c r="E96" s="6" t="s">
        <v>256</v>
      </c>
      <c r="F96" s="7" t="s">
        <v>213</v>
      </c>
      <c r="G96" s="2" t="s">
        <v>1339</v>
      </c>
      <c r="H96" s="2" t="s">
        <v>1340</v>
      </c>
      <c r="I96" s="4" t="s">
        <v>1341</v>
      </c>
      <c r="J96" s="7" t="s">
        <v>2</v>
      </c>
      <c r="K96" s="7" t="s">
        <v>217</v>
      </c>
      <c r="L96" s="2">
        <v>7</v>
      </c>
      <c r="M96" s="2" t="s">
        <v>102</v>
      </c>
      <c r="N96" s="2" t="s">
        <v>177</v>
      </c>
      <c r="O96" s="2" t="s">
        <v>203</v>
      </c>
      <c r="P96" s="2" t="s">
        <v>179</v>
      </c>
      <c r="Q96" s="2" t="s">
        <v>1342</v>
      </c>
      <c r="R96" s="2" t="s">
        <v>181</v>
      </c>
      <c r="S96" s="2" t="s">
        <v>84</v>
      </c>
      <c r="T96" s="2" t="s">
        <v>1343</v>
      </c>
      <c r="U96" s="2" t="s">
        <v>183</v>
      </c>
      <c r="V96" s="2" t="s">
        <v>183</v>
      </c>
      <c r="W96" s="2" t="s">
        <v>183</v>
      </c>
      <c r="X96" s="2" t="s">
        <v>184</v>
      </c>
      <c r="Y96" s="2" t="s">
        <v>205</v>
      </c>
      <c r="Z96" s="2" t="s">
        <v>1344</v>
      </c>
      <c r="AA96" s="2" t="s">
        <v>1345</v>
      </c>
      <c r="AB96" s="2" t="s">
        <v>187</v>
      </c>
      <c r="AC96" s="2" t="s">
        <v>539</v>
      </c>
      <c r="AE96" s="2" t="s">
        <v>190</v>
      </c>
      <c r="AF96" s="2" t="s">
        <v>191</v>
      </c>
      <c r="AG96" s="2" t="s">
        <v>2</v>
      </c>
      <c r="AH96" s="2" t="s">
        <v>192</v>
      </c>
      <c r="AI96" s="2" t="s">
        <v>193</v>
      </c>
    </row>
    <row r="97" spans="1:35">
      <c r="A97" s="2" t="s">
        <v>1346</v>
      </c>
      <c r="B97" s="2" t="s">
        <v>1347</v>
      </c>
      <c r="C97" s="2" t="s">
        <v>1348</v>
      </c>
      <c r="D97" s="2" t="s">
        <v>1349</v>
      </c>
      <c r="E97" t="s">
        <v>256</v>
      </c>
      <c r="F97" s="2" t="s">
        <v>213</v>
      </c>
      <c r="G97" s="2" t="s">
        <v>1350</v>
      </c>
      <c r="H97" s="2" t="s">
        <v>1351</v>
      </c>
      <c r="I97" s="4" t="s">
        <v>1352</v>
      </c>
      <c r="J97" s="2" t="s">
        <v>2</v>
      </c>
      <c r="K97" s="2" t="s">
        <v>88</v>
      </c>
      <c r="L97" s="2">
        <v>7</v>
      </c>
      <c r="M97" s="2" t="s">
        <v>102</v>
      </c>
      <c r="N97" s="2" t="s">
        <v>218</v>
      </c>
      <c r="O97" s="2" t="s">
        <v>1353</v>
      </c>
      <c r="P97" s="2" t="s">
        <v>179</v>
      </c>
      <c r="Q97" s="2" t="s">
        <v>365</v>
      </c>
      <c r="R97" s="2" t="s">
        <v>181</v>
      </c>
      <c r="S97" s="2" t="s">
        <v>84</v>
      </c>
      <c r="T97" s="2" t="s">
        <v>1354</v>
      </c>
      <c r="U97" s="2" t="s">
        <v>183</v>
      </c>
      <c r="V97" s="2" t="s">
        <v>183</v>
      </c>
      <c r="W97" s="2" t="s">
        <v>183</v>
      </c>
      <c r="X97" s="2" t="s">
        <v>205</v>
      </c>
      <c r="Y97" s="2" t="s">
        <v>205</v>
      </c>
      <c r="Z97" s="2" t="s">
        <v>1355</v>
      </c>
      <c r="AA97" s="2" t="s">
        <v>1356</v>
      </c>
      <c r="AB97" s="2" t="s">
        <v>187</v>
      </c>
      <c r="AC97" s="2" t="s">
        <v>539</v>
      </c>
      <c r="AE97" s="2" t="s">
        <v>190</v>
      </c>
      <c r="AF97" s="2" t="s">
        <v>191</v>
      </c>
      <c r="AG97" s="2" t="s">
        <v>2</v>
      </c>
      <c r="AH97" s="2" t="s">
        <v>192</v>
      </c>
      <c r="AI97" s="2" t="s">
        <v>193</v>
      </c>
    </row>
    <row r="98" spans="1:35">
      <c r="A98" s="2" t="s">
        <v>1357</v>
      </c>
      <c r="B98" s="2" t="s">
        <v>1358</v>
      </c>
      <c r="C98" s="2" t="s">
        <v>1359</v>
      </c>
      <c r="D98" s="2" t="s">
        <v>1360</v>
      </c>
      <c r="E98" t="s">
        <v>1361</v>
      </c>
      <c r="F98" s="2" t="s">
        <v>213</v>
      </c>
      <c r="G98" s="2" t="s">
        <v>1362</v>
      </c>
      <c r="H98" s="2" t="s">
        <v>1363</v>
      </c>
      <c r="I98" s="4" t="s">
        <v>1364</v>
      </c>
      <c r="J98" s="2" t="s">
        <v>2</v>
      </c>
      <c r="K98" s="2" t="s">
        <v>88</v>
      </c>
      <c r="L98" s="2">
        <v>7</v>
      </c>
      <c r="M98" s="2" t="s">
        <v>111</v>
      </c>
      <c r="N98" s="2" t="s">
        <v>218</v>
      </c>
      <c r="O98" s="2" t="s">
        <v>595</v>
      </c>
      <c r="P98" s="2" t="s">
        <v>179</v>
      </c>
      <c r="Q98" s="2" t="s">
        <v>365</v>
      </c>
      <c r="R98" s="2" t="s">
        <v>181</v>
      </c>
      <c r="S98" s="2" t="s">
        <v>86</v>
      </c>
      <c r="T98" s="2" t="s">
        <v>1365</v>
      </c>
      <c r="U98" s="2" t="s">
        <v>183</v>
      </c>
      <c r="V98" s="2" t="s">
        <v>183</v>
      </c>
      <c r="W98" s="2" t="s">
        <v>183</v>
      </c>
      <c r="X98" s="2" t="s">
        <v>205</v>
      </c>
      <c r="Y98" s="2" t="s">
        <v>205</v>
      </c>
      <c r="Z98" s="2" t="s">
        <v>1366</v>
      </c>
      <c r="AA98" s="2" t="s">
        <v>1367</v>
      </c>
      <c r="AC98" s="2" t="s">
        <v>369</v>
      </c>
      <c r="AE98" s="2" t="s">
        <v>190</v>
      </c>
      <c r="AF98" s="2" t="s">
        <v>191</v>
      </c>
      <c r="AG98" s="2" t="s">
        <v>2</v>
      </c>
      <c r="AH98" s="2" t="s">
        <v>192</v>
      </c>
      <c r="AI98" s="2" t="s">
        <v>193</v>
      </c>
    </row>
    <row r="99" spans="1:35">
      <c r="A99" s="2" t="s">
        <v>1368</v>
      </c>
      <c r="B99" s="2" t="s">
        <v>1369</v>
      </c>
      <c r="C99" s="2" t="s">
        <v>1370</v>
      </c>
      <c r="D99" s="2" t="s">
        <v>1371</v>
      </c>
      <c r="E99" t="s">
        <v>1372</v>
      </c>
      <c r="F99" s="2" t="s">
        <v>1373</v>
      </c>
      <c r="G99" s="2" t="s">
        <v>1374</v>
      </c>
      <c r="H99" s="2" t="s">
        <v>1375</v>
      </c>
      <c r="I99" s="4" t="s">
        <v>1376</v>
      </c>
      <c r="J99" s="2" t="s">
        <v>2</v>
      </c>
      <c r="K99" s="2" t="s">
        <v>88</v>
      </c>
      <c r="L99" s="2">
        <v>7</v>
      </c>
      <c r="M99" s="2" t="s">
        <v>120</v>
      </c>
      <c r="N99" s="2" t="s">
        <v>218</v>
      </c>
      <c r="O99" s="2" t="s">
        <v>1377</v>
      </c>
      <c r="P99" s="2" t="s">
        <v>179</v>
      </c>
      <c r="Q99" s="2" t="s">
        <v>769</v>
      </c>
      <c r="R99" s="2" t="s">
        <v>181</v>
      </c>
      <c r="S99" s="2" t="s">
        <v>86</v>
      </c>
      <c r="T99" s="2" t="s">
        <v>1378</v>
      </c>
      <c r="U99" s="2" t="s">
        <v>183</v>
      </c>
      <c r="V99" s="2" t="s">
        <v>183</v>
      </c>
      <c r="W99" s="2" t="s">
        <v>183</v>
      </c>
      <c r="X99" s="2" t="s">
        <v>205</v>
      </c>
      <c r="Y99" s="2" t="s">
        <v>205</v>
      </c>
      <c r="Z99" s="2" t="s">
        <v>1379</v>
      </c>
      <c r="AA99" s="2" t="s">
        <v>1380</v>
      </c>
      <c r="AC99" s="2" t="s">
        <v>369</v>
      </c>
      <c r="AE99" s="2" t="s">
        <v>223</v>
      </c>
      <c r="AF99" s="2" t="s">
        <v>224</v>
      </c>
      <c r="AG99" s="2" t="s">
        <v>2</v>
      </c>
      <c r="AH99" s="2" t="s">
        <v>225</v>
      </c>
      <c r="AI99" s="2" t="s">
        <v>342</v>
      </c>
    </row>
    <row r="100" spans="1:35">
      <c r="A100" s="2" t="s">
        <v>1381</v>
      </c>
      <c r="B100" s="2" t="s">
        <v>1382</v>
      </c>
      <c r="C100" s="2" t="s">
        <v>1383</v>
      </c>
      <c r="D100" s="2" t="s">
        <v>1384</v>
      </c>
      <c r="E100" t="s">
        <v>1385</v>
      </c>
      <c r="F100" s="2" t="s">
        <v>213</v>
      </c>
      <c r="G100" s="2" t="s">
        <v>1386</v>
      </c>
      <c r="H100" s="2" t="s">
        <v>1387</v>
      </c>
      <c r="I100" s="4" t="s">
        <v>1388</v>
      </c>
      <c r="J100" s="2" t="s">
        <v>2</v>
      </c>
      <c r="K100" s="2" t="s">
        <v>88</v>
      </c>
      <c r="L100" s="2">
        <v>7</v>
      </c>
      <c r="M100" s="2" t="s">
        <v>120</v>
      </c>
      <c r="N100" s="2" t="s">
        <v>218</v>
      </c>
      <c r="O100" s="2" t="s">
        <v>1389</v>
      </c>
      <c r="P100" s="2" t="s">
        <v>272</v>
      </c>
      <c r="Q100" s="2" t="s">
        <v>1390</v>
      </c>
      <c r="R100" s="2" t="s">
        <v>1391</v>
      </c>
      <c r="S100" s="2" t="s">
        <v>84</v>
      </c>
      <c r="T100" s="2" t="s">
        <v>1392</v>
      </c>
      <c r="U100" s="2" t="s">
        <v>183</v>
      </c>
      <c r="V100" s="2" t="s">
        <v>183</v>
      </c>
      <c r="W100" s="2" t="s">
        <v>183</v>
      </c>
      <c r="X100" s="2" t="s">
        <v>205</v>
      </c>
      <c r="Y100" s="2" t="s">
        <v>184</v>
      </c>
      <c r="Z100" s="2" t="s">
        <v>1393</v>
      </c>
      <c r="AA100" s="2" t="s">
        <v>1394</v>
      </c>
      <c r="AB100" s="2" t="s">
        <v>187</v>
      </c>
      <c r="AC100" s="2" t="s">
        <v>539</v>
      </c>
      <c r="AD100" s="2" t="s">
        <v>540</v>
      </c>
      <c r="AE100" s="2" t="s">
        <v>1168</v>
      </c>
      <c r="AF100" s="2" t="s">
        <v>1169</v>
      </c>
      <c r="AG100" s="2" t="s">
        <v>2</v>
      </c>
      <c r="AH100" s="2" t="s">
        <v>1170</v>
      </c>
      <c r="AI100" s="2" t="s">
        <v>193</v>
      </c>
    </row>
    <row r="101" spans="1:35">
      <c r="A101" s="2" t="s">
        <v>1395</v>
      </c>
      <c r="B101" s="2" t="s">
        <v>1396</v>
      </c>
      <c r="C101" s="7" t="s">
        <v>1397</v>
      </c>
      <c r="D101" s="7" t="s">
        <v>1398</v>
      </c>
      <c r="E101" s="6" t="s">
        <v>1258</v>
      </c>
      <c r="F101" s="7" t="s">
        <v>213</v>
      </c>
      <c r="G101" s="2" t="s">
        <v>1399</v>
      </c>
      <c r="H101" s="2" t="s">
        <v>1400</v>
      </c>
      <c r="I101" s="4" t="s">
        <v>1401</v>
      </c>
      <c r="J101" s="7" t="s">
        <v>2</v>
      </c>
      <c r="K101" s="7" t="s">
        <v>217</v>
      </c>
      <c r="L101" s="2">
        <v>8</v>
      </c>
      <c r="M101" s="2" t="s">
        <v>105</v>
      </c>
      <c r="N101" s="2" t="s">
        <v>177</v>
      </c>
      <c r="O101" s="2" t="s">
        <v>1402</v>
      </c>
      <c r="P101" s="2" t="s">
        <v>219</v>
      </c>
      <c r="Q101" s="2" t="s">
        <v>273</v>
      </c>
      <c r="R101" s="2" t="s">
        <v>181</v>
      </c>
      <c r="S101" s="2" t="s">
        <v>82</v>
      </c>
      <c r="T101" s="2" t="s">
        <v>1403</v>
      </c>
      <c r="U101" s="2" t="s">
        <v>183</v>
      </c>
      <c r="V101" s="2" t="s">
        <v>183</v>
      </c>
      <c r="W101" s="2" t="s">
        <v>183</v>
      </c>
      <c r="X101" s="2" t="s">
        <v>205</v>
      </c>
      <c r="Y101" s="2" t="s">
        <v>184</v>
      </c>
      <c r="Z101" s="2" t="s">
        <v>1404</v>
      </c>
      <c r="AA101" s="2" t="s">
        <v>1405</v>
      </c>
      <c r="AB101" s="2" t="s">
        <v>491</v>
      </c>
      <c r="AC101" s="2" t="s">
        <v>492</v>
      </c>
      <c r="AE101" s="2" t="s">
        <v>223</v>
      </c>
      <c r="AF101" s="2" t="s">
        <v>224</v>
      </c>
      <c r="AG101" s="2" t="s">
        <v>2</v>
      </c>
      <c r="AH101" s="2" t="s">
        <v>225</v>
      </c>
      <c r="AI101" s="2" t="s">
        <v>193</v>
      </c>
    </row>
    <row r="102" spans="1:35">
      <c r="A102" s="2" t="s">
        <v>1406</v>
      </c>
      <c r="B102" s="2" t="s">
        <v>1407</v>
      </c>
      <c r="C102" s="7" t="s">
        <v>1408</v>
      </c>
      <c r="D102" s="7" t="s">
        <v>1409</v>
      </c>
      <c r="E102" s="6" t="s">
        <v>256</v>
      </c>
      <c r="F102" s="7" t="s">
        <v>213</v>
      </c>
      <c r="G102" s="2" t="s">
        <v>1410</v>
      </c>
      <c r="H102" s="2" t="s">
        <v>1411</v>
      </c>
      <c r="I102" s="4" t="s">
        <v>1412</v>
      </c>
      <c r="J102" s="7" t="s">
        <v>2</v>
      </c>
      <c r="K102" s="7" t="s">
        <v>217</v>
      </c>
      <c r="L102" s="2">
        <v>8</v>
      </c>
      <c r="M102" s="2" t="s">
        <v>105</v>
      </c>
      <c r="N102" s="2" t="s">
        <v>177</v>
      </c>
      <c r="O102" s="2" t="s">
        <v>1413</v>
      </c>
      <c r="P102" s="2" t="s">
        <v>272</v>
      </c>
      <c r="Q102" s="2" t="s">
        <v>273</v>
      </c>
      <c r="R102" s="2" t="s">
        <v>234</v>
      </c>
      <c r="S102" s="2" t="s">
        <v>82</v>
      </c>
      <c r="T102" s="2" t="s">
        <v>1414</v>
      </c>
      <c r="U102" s="2" t="s">
        <v>183</v>
      </c>
      <c r="V102" s="2" t="s">
        <v>183</v>
      </c>
      <c r="W102" s="2" t="s">
        <v>183</v>
      </c>
      <c r="X102" s="2" t="s">
        <v>205</v>
      </c>
      <c r="Y102" s="2" t="s">
        <v>205</v>
      </c>
      <c r="Z102" s="2" t="s">
        <v>1415</v>
      </c>
      <c r="AA102" s="2" t="s">
        <v>1416</v>
      </c>
      <c r="AB102" s="2" t="s">
        <v>491</v>
      </c>
      <c r="AC102" s="2" t="s">
        <v>492</v>
      </c>
      <c r="AE102" s="2" t="s">
        <v>223</v>
      </c>
      <c r="AF102" s="2" t="s">
        <v>224</v>
      </c>
      <c r="AG102" s="2" t="s">
        <v>2</v>
      </c>
      <c r="AH102" s="2" t="s">
        <v>225</v>
      </c>
      <c r="AI102" s="2" t="s">
        <v>193</v>
      </c>
    </row>
    <row r="103" spans="1:35">
      <c r="A103" s="2" t="s">
        <v>1417</v>
      </c>
      <c r="B103" s="2" t="s">
        <v>1418</v>
      </c>
      <c r="C103" s="7" t="s">
        <v>1419</v>
      </c>
      <c r="D103" s="7" t="s">
        <v>1420</v>
      </c>
      <c r="E103" s="6" t="s">
        <v>388</v>
      </c>
      <c r="F103" s="7" t="s">
        <v>333</v>
      </c>
      <c r="G103" s="2" t="s">
        <v>557</v>
      </c>
      <c r="H103" s="2" t="s">
        <v>1421</v>
      </c>
      <c r="I103" s="4" t="s">
        <v>1422</v>
      </c>
      <c r="J103" s="7" t="s">
        <v>2</v>
      </c>
      <c r="K103" s="7" t="s">
        <v>217</v>
      </c>
      <c r="L103" s="2">
        <v>8</v>
      </c>
      <c r="M103" s="2" t="s">
        <v>111</v>
      </c>
      <c r="N103" s="2" t="s">
        <v>177</v>
      </c>
      <c r="O103" s="2" t="s">
        <v>1423</v>
      </c>
      <c r="P103" s="2" t="s">
        <v>179</v>
      </c>
      <c r="Q103" s="2" t="s">
        <v>743</v>
      </c>
      <c r="R103" s="2" t="s">
        <v>181</v>
      </c>
      <c r="S103" s="2" t="s">
        <v>84</v>
      </c>
      <c r="T103" s="2" t="s">
        <v>1424</v>
      </c>
      <c r="U103" s="2" t="s">
        <v>183</v>
      </c>
      <c r="V103" s="2" t="s">
        <v>183</v>
      </c>
      <c r="W103" s="2" t="s">
        <v>183</v>
      </c>
      <c r="X103" s="2" t="s">
        <v>339</v>
      </c>
      <c r="Y103" s="2" t="s">
        <v>184</v>
      </c>
      <c r="Z103" s="2" t="s">
        <v>1425</v>
      </c>
      <c r="AA103" s="2" t="s">
        <v>1426</v>
      </c>
      <c r="AB103" s="2" t="s">
        <v>491</v>
      </c>
      <c r="AC103" s="2" t="s">
        <v>301</v>
      </c>
      <c r="AE103" s="2" t="s">
        <v>370</v>
      </c>
      <c r="AF103" s="2" t="s">
        <v>371</v>
      </c>
      <c r="AG103" s="2" t="s">
        <v>2</v>
      </c>
      <c r="AH103" s="2" t="s">
        <v>372</v>
      </c>
      <c r="AI103" s="2" t="s">
        <v>342</v>
      </c>
    </row>
    <row r="104" spans="1:35">
      <c r="A104" s="2" t="s">
        <v>1427</v>
      </c>
      <c r="B104" s="2" t="s">
        <v>1428</v>
      </c>
      <c r="C104" s="7" t="s">
        <v>1429</v>
      </c>
      <c r="D104" s="7" t="s">
        <v>1430</v>
      </c>
      <c r="E104" s="6" t="s">
        <v>663</v>
      </c>
      <c r="F104" s="7" t="s">
        <v>213</v>
      </c>
      <c r="G104" s="2" t="s">
        <v>1431</v>
      </c>
      <c r="H104" s="2" t="s">
        <v>1432</v>
      </c>
      <c r="I104" s="4" t="s">
        <v>1433</v>
      </c>
      <c r="J104" s="7" t="s">
        <v>2</v>
      </c>
      <c r="K104" s="7" t="s">
        <v>217</v>
      </c>
      <c r="L104" s="2">
        <v>8</v>
      </c>
      <c r="M104" s="2" t="s">
        <v>111</v>
      </c>
      <c r="N104" s="2" t="s">
        <v>177</v>
      </c>
      <c r="O104" s="2" t="s">
        <v>1423</v>
      </c>
      <c r="P104" s="2" t="s">
        <v>179</v>
      </c>
      <c r="Q104" s="2" t="s">
        <v>743</v>
      </c>
      <c r="R104" s="2" t="s">
        <v>181</v>
      </c>
      <c r="S104" s="2" t="s">
        <v>84</v>
      </c>
      <c r="T104" s="2" t="s">
        <v>1434</v>
      </c>
      <c r="U104" s="2" t="s">
        <v>183</v>
      </c>
      <c r="V104" s="2" t="s">
        <v>183</v>
      </c>
      <c r="W104" s="2" t="s">
        <v>183</v>
      </c>
      <c r="X104" s="2" t="s">
        <v>339</v>
      </c>
      <c r="Y104" s="2" t="s">
        <v>205</v>
      </c>
      <c r="Z104" s="2" t="s">
        <v>1435</v>
      </c>
      <c r="AA104" s="2" t="s">
        <v>1436</v>
      </c>
      <c r="AB104" s="2" t="s">
        <v>491</v>
      </c>
      <c r="AC104" s="2" t="s">
        <v>492</v>
      </c>
      <c r="AE104" s="2" t="s">
        <v>370</v>
      </c>
      <c r="AF104" s="2" t="s">
        <v>371</v>
      </c>
      <c r="AG104" s="2" t="s">
        <v>2</v>
      </c>
      <c r="AH104" s="2" t="s">
        <v>372</v>
      </c>
      <c r="AI104" s="2" t="s">
        <v>193</v>
      </c>
    </row>
    <row r="105" spans="1:35">
      <c r="A105" s="2" t="s">
        <v>1437</v>
      </c>
      <c r="B105" s="2" t="s">
        <v>1438</v>
      </c>
      <c r="C105" s="7" t="s">
        <v>1439</v>
      </c>
      <c r="D105" s="7" t="s">
        <v>1440</v>
      </c>
      <c r="E105" s="6" t="s">
        <v>663</v>
      </c>
      <c r="F105" s="7" t="s">
        <v>213</v>
      </c>
      <c r="G105" s="2" t="s">
        <v>1441</v>
      </c>
      <c r="H105" s="2" t="s">
        <v>1442</v>
      </c>
      <c r="I105" s="4" t="s">
        <v>1443</v>
      </c>
      <c r="J105" s="7" t="s">
        <v>2</v>
      </c>
      <c r="K105" s="7" t="s">
        <v>217</v>
      </c>
      <c r="L105" s="2">
        <v>8</v>
      </c>
      <c r="M105" s="2" t="s">
        <v>132</v>
      </c>
      <c r="N105" s="2" t="s">
        <v>177</v>
      </c>
      <c r="O105" s="2" t="s">
        <v>1444</v>
      </c>
      <c r="P105" s="2" t="s">
        <v>179</v>
      </c>
      <c r="Q105" s="2" t="s">
        <v>1445</v>
      </c>
      <c r="R105" s="2" t="s">
        <v>181</v>
      </c>
      <c r="S105" s="2" t="s">
        <v>84</v>
      </c>
      <c r="T105" s="2" t="s">
        <v>1446</v>
      </c>
      <c r="U105" s="2" t="s">
        <v>183</v>
      </c>
      <c r="V105" s="2" t="s">
        <v>183</v>
      </c>
      <c r="W105" s="2" t="s">
        <v>183</v>
      </c>
      <c r="X105" s="2" t="s">
        <v>339</v>
      </c>
      <c r="Y105" s="2" t="s">
        <v>184</v>
      </c>
      <c r="Z105" s="2" t="s">
        <v>1447</v>
      </c>
      <c r="AA105" s="2" t="s">
        <v>1448</v>
      </c>
      <c r="AB105" s="2" t="s">
        <v>491</v>
      </c>
      <c r="AC105" s="2" t="s">
        <v>492</v>
      </c>
      <c r="AE105" s="2" t="s">
        <v>370</v>
      </c>
      <c r="AF105" s="2" t="s">
        <v>371</v>
      </c>
      <c r="AG105" s="2" t="s">
        <v>2</v>
      </c>
      <c r="AH105" s="2" t="s">
        <v>372</v>
      </c>
      <c r="AI105" s="2" t="s">
        <v>193</v>
      </c>
    </row>
    <row r="106" spans="1:35">
      <c r="A106" s="2" t="s">
        <v>1449</v>
      </c>
      <c r="B106" s="2" t="s">
        <v>1450</v>
      </c>
      <c r="C106" s="7" t="s">
        <v>1451</v>
      </c>
      <c r="D106" s="7" t="s">
        <v>1452</v>
      </c>
      <c r="E106" s="6" t="s">
        <v>1453</v>
      </c>
      <c r="F106" s="7" t="s">
        <v>838</v>
      </c>
      <c r="G106" s="2" t="s">
        <v>1454</v>
      </c>
      <c r="H106" s="2" t="s">
        <v>1455</v>
      </c>
      <c r="I106" s="4" t="s">
        <v>1456</v>
      </c>
      <c r="J106" s="7" t="s">
        <v>2</v>
      </c>
      <c r="K106" s="7" t="s">
        <v>217</v>
      </c>
      <c r="L106" s="2">
        <v>8</v>
      </c>
      <c r="M106" s="2" t="s">
        <v>132</v>
      </c>
      <c r="N106" s="2" t="s">
        <v>177</v>
      </c>
      <c r="O106" s="2" t="s">
        <v>1457</v>
      </c>
      <c r="P106" s="2" t="s">
        <v>219</v>
      </c>
      <c r="Q106" s="2" t="s">
        <v>1458</v>
      </c>
      <c r="R106" s="2" t="s">
        <v>181</v>
      </c>
      <c r="S106" s="2" t="s">
        <v>84</v>
      </c>
      <c r="T106" s="2" t="s">
        <v>1459</v>
      </c>
      <c r="U106" s="2" t="s">
        <v>183</v>
      </c>
      <c r="V106" s="2" t="s">
        <v>183</v>
      </c>
      <c r="W106" s="2" t="s">
        <v>183</v>
      </c>
      <c r="X106" s="2" t="s">
        <v>205</v>
      </c>
      <c r="Y106" s="2" t="s">
        <v>205</v>
      </c>
      <c r="Z106" s="2" t="s">
        <v>1460</v>
      </c>
      <c r="AA106" s="2" t="s">
        <v>1461</v>
      </c>
      <c r="AB106" s="2" t="s">
        <v>491</v>
      </c>
      <c r="AC106" s="2" t="s">
        <v>492</v>
      </c>
      <c r="AE106" s="2" t="s">
        <v>223</v>
      </c>
      <c r="AF106" s="2" t="s">
        <v>224</v>
      </c>
      <c r="AG106" s="2" t="s">
        <v>2</v>
      </c>
      <c r="AH106" s="2" t="s">
        <v>225</v>
      </c>
      <c r="AI106" s="2" t="s">
        <v>342</v>
      </c>
    </row>
    <row r="107" spans="1:35">
      <c r="A107" s="2" t="s">
        <v>1462</v>
      </c>
      <c r="B107" s="2" t="s">
        <v>1463</v>
      </c>
      <c r="C107" s="2" t="s">
        <v>1464</v>
      </c>
      <c r="D107" s="2" t="s">
        <v>1465</v>
      </c>
      <c r="E107" t="s">
        <v>256</v>
      </c>
      <c r="F107" s="2" t="s">
        <v>213</v>
      </c>
      <c r="G107" s="2" t="s">
        <v>1466</v>
      </c>
      <c r="H107" s="2" t="s">
        <v>1467</v>
      </c>
      <c r="I107" s="4" t="s">
        <v>1468</v>
      </c>
      <c r="J107" s="2" t="s">
        <v>2</v>
      </c>
      <c r="K107" s="2" t="s">
        <v>88</v>
      </c>
      <c r="L107" s="2">
        <v>8</v>
      </c>
      <c r="M107" s="2" t="s">
        <v>105</v>
      </c>
      <c r="N107" s="2" t="s">
        <v>218</v>
      </c>
      <c r="O107" s="2" t="s">
        <v>1413</v>
      </c>
      <c r="P107" s="2" t="s">
        <v>272</v>
      </c>
      <c r="Q107" s="2" t="s">
        <v>1469</v>
      </c>
      <c r="R107" s="2" t="s">
        <v>234</v>
      </c>
      <c r="S107" s="2" t="s">
        <v>84</v>
      </c>
      <c r="T107" s="2" t="s">
        <v>1470</v>
      </c>
      <c r="U107" s="2" t="s">
        <v>183</v>
      </c>
      <c r="V107" s="2" t="s">
        <v>183</v>
      </c>
      <c r="W107" s="2" t="s">
        <v>183</v>
      </c>
      <c r="X107" s="2" t="s">
        <v>184</v>
      </c>
      <c r="Y107" s="2" t="s">
        <v>205</v>
      </c>
      <c r="Z107" s="2" t="s">
        <v>1471</v>
      </c>
      <c r="AA107" s="2" t="s">
        <v>1472</v>
      </c>
      <c r="AB107" s="2" t="s">
        <v>491</v>
      </c>
      <c r="AC107" s="2" t="s">
        <v>315</v>
      </c>
      <c r="AE107" s="2" t="s">
        <v>223</v>
      </c>
      <c r="AF107" s="2" t="s">
        <v>224</v>
      </c>
      <c r="AG107" s="2" t="s">
        <v>2</v>
      </c>
      <c r="AH107" s="2" t="s">
        <v>225</v>
      </c>
      <c r="AI107" s="2" t="s">
        <v>193</v>
      </c>
    </row>
    <row r="108" spans="1:35">
      <c r="A108" s="2" t="s">
        <v>1473</v>
      </c>
      <c r="B108" s="2" t="s">
        <v>1474</v>
      </c>
      <c r="C108" s="2" t="s">
        <v>1475</v>
      </c>
      <c r="D108" s="2" t="s">
        <v>1476</v>
      </c>
      <c r="E108" t="s">
        <v>388</v>
      </c>
      <c r="F108" s="2" t="s">
        <v>333</v>
      </c>
      <c r="G108" s="2" t="s">
        <v>1477</v>
      </c>
      <c r="H108" s="2" t="s">
        <v>1478</v>
      </c>
      <c r="I108" s="4" t="s">
        <v>1479</v>
      </c>
      <c r="J108" s="2" t="s">
        <v>2</v>
      </c>
      <c r="K108" s="2" t="s">
        <v>88</v>
      </c>
      <c r="L108" s="2">
        <v>8</v>
      </c>
      <c r="M108" s="2" t="s">
        <v>132</v>
      </c>
      <c r="N108" s="2" t="s">
        <v>218</v>
      </c>
      <c r="O108" s="2" t="s">
        <v>1480</v>
      </c>
      <c r="P108" s="2" t="s">
        <v>179</v>
      </c>
      <c r="Q108" s="2" t="s">
        <v>1481</v>
      </c>
      <c r="R108" s="2" t="s">
        <v>181</v>
      </c>
      <c r="S108" s="2" t="s">
        <v>86</v>
      </c>
      <c r="T108" s="2" t="s">
        <v>1482</v>
      </c>
      <c r="U108" s="2" t="s">
        <v>183</v>
      </c>
      <c r="V108" s="2" t="s">
        <v>183</v>
      </c>
      <c r="W108" s="2" t="s">
        <v>183</v>
      </c>
      <c r="X108" s="2" t="s">
        <v>339</v>
      </c>
      <c r="Y108" s="2" t="s">
        <v>205</v>
      </c>
      <c r="Z108" s="2" t="s">
        <v>1483</v>
      </c>
      <c r="AA108" s="2" t="s">
        <v>1484</v>
      </c>
      <c r="AC108" s="2" t="s">
        <v>1028</v>
      </c>
      <c r="AE108" s="2" t="s">
        <v>190</v>
      </c>
      <c r="AF108" s="2" t="s">
        <v>191</v>
      </c>
      <c r="AG108" s="2" t="s">
        <v>2</v>
      </c>
      <c r="AH108" s="2" t="s">
        <v>192</v>
      </c>
      <c r="AI108" s="2" t="s">
        <v>342</v>
      </c>
    </row>
    <row r="109" spans="1:35">
      <c r="A109" s="2" t="s">
        <v>1485</v>
      </c>
      <c r="B109" s="2" t="s">
        <v>1486</v>
      </c>
      <c r="C109" s="2" t="s">
        <v>1487</v>
      </c>
      <c r="D109" s="2" t="s">
        <v>1488</v>
      </c>
      <c r="E109" t="s">
        <v>1489</v>
      </c>
      <c r="F109" s="2" t="s">
        <v>213</v>
      </c>
      <c r="G109" s="2" t="s">
        <v>1490</v>
      </c>
      <c r="H109" s="2" t="s">
        <v>1491</v>
      </c>
      <c r="I109" s="4" t="s">
        <v>1492</v>
      </c>
      <c r="J109" s="2" t="s">
        <v>2</v>
      </c>
      <c r="K109" s="2" t="s">
        <v>88</v>
      </c>
      <c r="L109" s="2">
        <v>8</v>
      </c>
      <c r="M109" s="2" t="s">
        <v>132</v>
      </c>
      <c r="N109" s="2" t="s">
        <v>218</v>
      </c>
      <c r="O109" s="2" t="s">
        <v>1493</v>
      </c>
      <c r="P109" s="2" t="s">
        <v>179</v>
      </c>
      <c r="Q109" s="2" t="s">
        <v>707</v>
      </c>
      <c r="R109" s="2" t="s">
        <v>181</v>
      </c>
      <c r="S109" s="2" t="s">
        <v>86</v>
      </c>
      <c r="T109" s="2" t="s">
        <v>1494</v>
      </c>
      <c r="U109" s="2" t="s">
        <v>183</v>
      </c>
      <c r="V109" s="2" t="s">
        <v>183</v>
      </c>
      <c r="W109" s="2" t="s">
        <v>183</v>
      </c>
      <c r="X109" s="2" t="s">
        <v>339</v>
      </c>
      <c r="Y109" s="2" t="s">
        <v>205</v>
      </c>
      <c r="Z109" s="2" t="s">
        <v>1495</v>
      </c>
      <c r="AA109" s="2" t="s">
        <v>1496</v>
      </c>
      <c r="AC109" s="2" t="s">
        <v>477</v>
      </c>
      <c r="AE109" s="2" t="s">
        <v>190</v>
      </c>
      <c r="AF109" s="2" t="s">
        <v>191</v>
      </c>
      <c r="AG109" s="2" t="s">
        <v>2</v>
      </c>
      <c r="AH109" s="2" t="s">
        <v>192</v>
      </c>
      <c r="AI109" s="2" t="s">
        <v>193</v>
      </c>
    </row>
    <row r="110" spans="1:35">
      <c r="A110" s="2" t="s">
        <v>1497</v>
      </c>
      <c r="B110" s="2" t="s">
        <v>1498</v>
      </c>
      <c r="C110" s="2" t="s">
        <v>1499</v>
      </c>
      <c r="D110" s="2" t="s">
        <v>1500</v>
      </c>
      <c r="E110" t="s">
        <v>1501</v>
      </c>
      <c r="F110" s="2" t="s">
        <v>333</v>
      </c>
      <c r="G110" s="2" t="s">
        <v>1502</v>
      </c>
      <c r="H110" s="2" t="s">
        <v>1503</v>
      </c>
      <c r="I110" s="4" t="s">
        <v>1504</v>
      </c>
      <c r="J110" s="2" t="s">
        <v>2</v>
      </c>
      <c r="K110" s="2" t="s">
        <v>88</v>
      </c>
      <c r="L110" s="2">
        <v>8</v>
      </c>
      <c r="M110" s="2" t="s">
        <v>132</v>
      </c>
      <c r="N110" s="2" t="s">
        <v>218</v>
      </c>
      <c r="O110" s="2" t="s">
        <v>1505</v>
      </c>
      <c r="P110" s="2" t="s">
        <v>179</v>
      </c>
      <c r="Q110" s="2" t="s">
        <v>743</v>
      </c>
      <c r="R110" s="2" t="s">
        <v>181</v>
      </c>
      <c r="S110" s="2" t="s">
        <v>86</v>
      </c>
      <c r="T110" s="2" t="s">
        <v>1506</v>
      </c>
      <c r="U110" s="2" t="s">
        <v>183</v>
      </c>
      <c r="V110" s="2" t="s">
        <v>183</v>
      </c>
      <c r="W110" s="2" t="s">
        <v>183</v>
      </c>
      <c r="X110" s="2" t="s">
        <v>339</v>
      </c>
      <c r="Y110" s="2" t="s">
        <v>205</v>
      </c>
      <c r="Z110" s="2" t="s">
        <v>1507</v>
      </c>
      <c r="AA110" s="2" t="s">
        <v>1508</v>
      </c>
      <c r="AB110" s="2" t="s">
        <v>491</v>
      </c>
      <c r="AC110" s="2" t="s">
        <v>492</v>
      </c>
      <c r="AE110" s="2" t="s">
        <v>370</v>
      </c>
      <c r="AF110" s="2" t="s">
        <v>371</v>
      </c>
      <c r="AG110" s="2" t="s">
        <v>2</v>
      </c>
      <c r="AH110" s="2" t="s">
        <v>372</v>
      </c>
      <c r="AI110" s="2" t="s">
        <v>342</v>
      </c>
    </row>
    <row r="111" spans="1:35">
      <c r="A111" s="2" t="s">
        <v>1509</v>
      </c>
      <c r="B111" s="2" t="s">
        <v>1510</v>
      </c>
      <c r="C111" s="7" t="s">
        <v>1511</v>
      </c>
      <c r="D111" s="7" t="s">
        <v>1512</v>
      </c>
      <c r="E111" s="6" t="s">
        <v>256</v>
      </c>
      <c r="F111" s="7" t="s">
        <v>213</v>
      </c>
      <c r="G111" s="2" t="s">
        <v>1513</v>
      </c>
      <c r="H111" s="2" t="s">
        <v>1514</v>
      </c>
      <c r="I111" s="4" t="s">
        <v>1515</v>
      </c>
      <c r="J111" s="7" t="s">
        <v>2</v>
      </c>
      <c r="K111" s="7" t="s">
        <v>217</v>
      </c>
      <c r="L111" s="2">
        <v>9</v>
      </c>
      <c r="M111" s="2" t="s">
        <v>120</v>
      </c>
      <c r="N111" s="2" t="s">
        <v>177</v>
      </c>
      <c r="O111" s="2" t="s">
        <v>1389</v>
      </c>
      <c r="P111" s="2" t="s">
        <v>272</v>
      </c>
      <c r="Q111" s="2" t="s">
        <v>1516</v>
      </c>
      <c r="R111" s="2" t="s">
        <v>234</v>
      </c>
      <c r="S111" s="2" t="s">
        <v>82</v>
      </c>
      <c r="T111" s="2" t="s">
        <v>1517</v>
      </c>
      <c r="U111" s="2" t="s">
        <v>183</v>
      </c>
      <c r="V111" s="2" t="s">
        <v>183</v>
      </c>
      <c r="W111" s="2" t="s">
        <v>183</v>
      </c>
      <c r="X111" s="2" t="s">
        <v>184</v>
      </c>
      <c r="Y111" s="2" t="s">
        <v>184</v>
      </c>
      <c r="Z111" s="2" t="s">
        <v>1518</v>
      </c>
      <c r="AA111" s="2" t="s">
        <v>1519</v>
      </c>
      <c r="AB111" s="2" t="s">
        <v>516</v>
      </c>
      <c r="AC111" s="2" t="s">
        <v>950</v>
      </c>
      <c r="AE111" s="2" t="s">
        <v>223</v>
      </c>
      <c r="AF111" s="2" t="s">
        <v>224</v>
      </c>
      <c r="AG111" s="2" t="s">
        <v>2</v>
      </c>
      <c r="AH111" s="2" t="s">
        <v>225</v>
      </c>
      <c r="AI111" s="2" t="s">
        <v>193</v>
      </c>
    </row>
    <row r="112" spans="1:35">
      <c r="A112" s="2" t="s">
        <v>1520</v>
      </c>
      <c r="B112" s="2" t="s">
        <v>1521</v>
      </c>
      <c r="C112" s="7" t="s">
        <v>1522</v>
      </c>
      <c r="D112" s="7" t="s">
        <v>1523</v>
      </c>
      <c r="E112" s="6" t="s">
        <v>256</v>
      </c>
      <c r="F112" s="7" t="s">
        <v>213</v>
      </c>
      <c r="G112" s="2" t="s">
        <v>1513</v>
      </c>
      <c r="H112" s="2" t="s">
        <v>1524</v>
      </c>
      <c r="I112" s="4" t="s">
        <v>1525</v>
      </c>
      <c r="J112" s="7" t="s">
        <v>2</v>
      </c>
      <c r="K112" s="7" t="s">
        <v>217</v>
      </c>
      <c r="L112" s="2">
        <v>9</v>
      </c>
      <c r="M112" s="2" t="s">
        <v>120</v>
      </c>
      <c r="N112" s="2" t="s">
        <v>177</v>
      </c>
      <c r="O112" s="2" t="s">
        <v>1413</v>
      </c>
      <c r="P112" s="2" t="s">
        <v>272</v>
      </c>
      <c r="Q112" s="2" t="s">
        <v>1516</v>
      </c>
      <c r="R112" s="2" t="s">
        <v>261</v>
      </c>
      <c r="S112" s="2" t="s">
        <v>82</v>
      </c>
      <c r="T112" s="2" t="s">
        <v>1526</v>
      </c>
      <c r="U112" s="2" t="s">
        <v>183</v>
      </c>
      <c r="V112" s="2" t="s">
        <v>183</v>
      </c>
      <c r="W112" s="2" t="s">
        <v>183</v>
      </c>
      <c r="X112" s="2" t="s">
        <v>184</v>
      </c>
      <c r="Y112" s="2" t="s">
        <v>205</v>
      </c>
      <c r="Z112" s="2" t="s">
        <v>1527</v>
      </c>
      <c r="AA112" s="2" t="s">
        <v>1528</v>
      </c>
      <c r="AB112" s="2" t="s">
        <v>516</v>
      </c>
      <c r="AC112" s="2" t="s">
        <v>950</v>
      </c>
      <c r="AE112" s="2" t="s">
        <v>223</v>
      </c>
      <c r="AF112" s="2" t="s">
        <v>224</v>
      </c>
      <c r="AG112" s="2" t="s">
        <v>2</v>
      </c>
      <c r="AH112" s="2" t="s">
        <v>225</v>
      </c>
      <c r="AI112" s="2" t="s">
        <v>193</v>
      </c>
    </row>
    <row r="113" spans="1:35">
      <c r="A113" s="2" t="s">
        <v>1529</v>
      </c>
      <c r="B113" s="2" t="s">
        <v>1530</v>
      </c>
      <c r="C113" s="7" t="s">
        <v>1531</v>
      </c>
      <c r="D113" s="7" t="s">
        <v>1532</v>
      </c>
      <c r="E113" s="6" t="s">
        <v>256</v>
      </c>
      <c r="F113" s="7" t="s">
        <v>213</v>
      </c>
      <c r="G113" s="2" t="s">
        <v>1513</v>
      </c>
      <c r="H113" s="2" t="s">
        <v>1533</v>
      </c>
      <c r="I113" s="4" t="s">
        <v>1534</v>
      </c>
      <c r="J113" s="7" t="s">
        <v>2</v>
      </c>
      <c r="K113" s="7" t="s">
        <v>217</v>
      </c>
      <c r="L113" s="2">
        <v>9</v>
      </c>
      <c r="M113" s="2" t="s">
        <v>120</v>
      </c>
      <c r="N113" s="2" t="s">
        <v>177</v>
      </c>
      <c r="O113" s="2" t="s">
        <v>1413</v>
      </c>
      <c r="P113" s="2" t="s">
        <v>272</v>
      </c>
      <c r="Q113" s="2" t="s">
        <v>1516</v>
      </c>
      <c r="R113" s="2" t="s">
        <v>261</v>
      </c>
      <c r="S113" s="2" t="s">
        <v>84</v>
      </c>
      <c r="T113" s="2" t="s">
        <v>1535</v>
      </c>
      <c r="U113" s="2" t="s">
        <v>183</v>
      </c>
      <c r="V113" s="2" t="s">
        <v>183</v>
      </c>
      <c r="W113" s="2" t="s">
        <v>183</v>
      </c>
      <c r="X113" s="2" t="s">
        <v>184</v>
      </c>
      <c r="Y113" s="2" t="s">
        <v>205</v>
      </c>
      <c r="Z113" s="2" t="s">
        <v>1536</v>
      </c>
      <c r="AA113" s="2" t="s">
        <v>1537</v>
      </c>
      <c r="AB113" s="2" t="s">
        <v>516</v>
      </c>
      <c r="AC113" s="2" t="s">
        <v>950</v>
      </c>
      <c r="AE113" s="2" t="s">
        <v>223</v>
      </c>
      <c r="AF113" s="2" t="s">
        <v>224</v>
      </c>
      <c r="AG113" s="2" t="s">
        <v>2</v>
      </c>
      <c r="AH113" s="2" t="s">
        <v>225</v>
      </c>
      <c r="AI113" s="2" t="s">
        <v>193</v>
      </c>
    </row>
    <row r="114" spans="1:35">
      <c r="A114" s="2" t="s">
        <v>1538</v>
      </c>
      <c r="B114" s="2" t="s">
        <v>1539</v>
      </c>
      <c r="C114" s="7" t="s">
        <v>1540</v>
      </c>
      <c r="D114" s="7" t="s">
        <v>1541</v>
      </c>
      <c r="E114" s="6" t="s">
        <v>1542</v>
      </c>
      <c r="F114" s="7" t="s">
        <v>838</v>
      </c>
      <c r="G114" s="2" t="s">
        <v>1543</v>
      </c>
      <c r="H114" s="2" t="s">
        <v>1544</v>
      </c>
      <c r="I114" s="4" t="s">
        <v>1545</v>
      </c>
      <c r="J114" s="7" t="s">
        <v>2</v>
      </c>
      <c r="K114" s="7" t="s">
        <v>217</v>
      </c>
      <c r="L114" s="2">
        <v>9</v>
      </c>
      <c r="M114" s="2" t="s">
        <v>111</v>
      </c>
      <c r="N114" s="2" t="s">
        <v>177</v>
      </c>
      <c r="O114" s="2" t="s">
        <v>1286</v>
      </c>
      <c r="P114" s="2" t="s">
        <v>272</v>
      </c>
      <c r="Q114" s="2" t="s">
        <v>1546</v>
      </c>
      <c r="R114" s="2" t="s">
        <v>234</v>
      </c>
      <c r="S114" s="2" t="s">
        <v>82</v>
      </c>
      <c r="T114" s="2" t="s">
        <v>1547</v>
      </c>
      <c r="U114" s="2" t="s">
        <v>183</v>
      </c>
      <c r="V114" s="2" t="s">
        <v>183</v>
      </c>
      <c r="W114" s="2" t="s">
        <v>183</v>
      </c>
      <c r="X114" s="2" t="s">
        <v>184</v>
      </c>
      <c r="Y114" s="2" t="s">
        <v>205</v>
      </c>
      <c r="Z114" s="2" t="s">
        <v>1548</v>
      </c>
      <c r="AA114" s="2" t="s">
        <v>1549</v>
      </c>
      <c r="AB114" s="2" t="s">
        <v>516</v>
      </c>
      <c r="AC114" s="2" t="s">
        <v>301</v>
      </c>
      <c r="AE114" s="2" t="s">
        <v>223</v>
      </c>
      <c r="AF114" s="2" t="s">
        <v>224</v>
      </c>
      <c r="AG114" s="2" t="s">
        <v>2</v>
      </c>
      <c r="AH114" s="2" t="s">
        <v>225</v>
      </c>
      <c r="AI114" s="2" t="s">
        <v>342</v>
      </c>
    </row>
    <row r="115" spans="1:35">
      <c r="A115" s="2" t="s">
        <v>1550</v>
      </c>
      <c r="B115" s="2" t="s">
        <v>1551</v>
      </c>
      <c r="C115" s="7" t="s">
        <v>1552</v>
      </c>
      <c r="D115" s="7" t="s">
        <v>1553</v>
      </c>
      <c r="E115" s="6" t="s">
        <v>347</v>
      </c>
      <c r="F115" s="7" t="s">
        <v>213</v>
      </c>
      <c r="G115" s="2" t="s">
        <v>1554</v>
      </c>
      <c r="H115" s="2" t="s">
        <v>1555</v>
      </c>
      <c r="I115" s="4" t="s">
        <v>1556</v>
      </c>
      <c r="J115" s="7" t="s">
        <v>2</v>
      </c>
      <c r="K115" s="7" t="s">
        <v>217</v>
      </c>
      <c r="L115" s="2">
        <v>9</v>
      </c>
      <c r="M115" s="2" t="s">
        <v>120</v>
      </c>
      <c r="N115" s="2" t="s">
        <v>177</v>
      </c>
      <c r="O115" s="2" t="s">
        <v>730</v>
      </c>
      <c r="P115" s="2" t="s">
        <v>219</v>
      </c>
      <c r="Q115" s="2" t="s">
        <v>310</v>
      </c>
      <c r="R115" s="2" t="s">
        <v>181</v>
      </c>
      <c r="S115" s="2" t="s">
        <v>84</v>
      </c>
      <c r="T115" s="2" t="s">
        <v>1557</v>
      </c>
      <c r="U115" s="2" t="s">
        <v>183</v>
      </c>
      <c r="V115" s="2" t="s">
        <v>183</v>
      </c>
      <c r="W115" s="2" t="s">
        <v>183</v>
      </c>
      <c r="X115" s="2" t="s">
        <v>205</v>
      </c>
      <c r="Y115" s="2" t="s">
        <v>184</v>
      </c>
      <c r="Z115" s="2" t="s">
        <v>1558</v>
      </c>
      <c r="AA115" s="2" t="s">
        <v>1559</v>
      </c>
      <c r="AB115" s="2" t="s">
        <v>516</v>
      </c>
      <c r="AC115" s="2" t="s">
        <v>950</v>
      </c>
      <c r="AE115" s="2" t="s">
        <v>223</v>
      </c>
      <c r="AF115" s="2" t="s">
        <v>224</v>
      </c>
      <c r="AG115" s="2" t="s">
        <v>2</v>
      </c>
      <c r="AH115" s="2" t="s">
        <v>225</v>
      </c>
      <c r="AI115" s="2" t="s">
        <v>193</v>
      </c>
    </row>
    <row r="116" spans="1:35">
      <c r="A116" s="2" t="s">
        <v>1560</v>
      </c>
      <c r="B116" s="2" t="s">
        <v>1561</v>
      </c>
      <c r="C116" s="7" t="s">
        <v>1562</v>
      </c>
      <c r="D116" s="7" t="s">
        <v>1563</v>
      </c>
      <c r="E116" s="6" t="s">
        <v>256</v>
      </c>
      <c r="F116" s="7" t="s">
        <v>213</v>
      </c>
      <c r="G116" s="2" t="s">
        <v>1564</v>
      </c>
      <c r="H116" s="2" t="s">
        <v>1565</v>
      </c>
      <c r="I116" s="4" t="s">
        <v>1566</v>
      </c>
      <c r="J116" s="7" t="s">
        <v>2</v>
      </c>
      <c r="K116" s="7" t="s">
        <v>217</v>
      </c>
      <c r="L116" s="2">
        <v>9</v>
      </c>
      <c r="M116" s="2" t="s">
        <v>126</v>
      </c>
      <c r="N116" s="2" t="s">
        <v>177</v>
      </c>
      <c r="O116" s="2" t="s">
        <v>1567</v>
      </c>
      <c r="P116" s="2" t="s">
        <v>272</v>
      </c>
      <c r="Q116" s="2" t="s">
        <v>1568</v>
      </c>
      <c r="R116" s="2" t="s">
        <v>261</v>
      </c>
      <c r="S116" s="2" t="s">
        <v>84</v>
      </c>
      <c r="T116" s="2" t="s">
        <v>1569</v>
      </c>
      <c r="U116" s="2" t="s">
        <v>183</v>
      </c>
      <c r="V116" s="2" t="s">
        <v>183</v>
      </c>
      <c r="W116" s="2" t="s">
        <v>183</v>
      </c>
      <c r="X116" s="2" t="s">
        <v>184</v>
      </c>
      <c r="Y116" s="2" t="s">
        <v>205</v>
      </c>
      <c r="Z116" s="2" t="s">
        <v>1570</v>
      </c>
      <c r="AA116" s="2" t="s">
        <v>1571</v>
      </c>
      <c r="AB116" s="2" t="s">
        <v>516</v>
      </c>
      <c r="AC116" s="2" t="s">
        <v>950</v>
      </c>
      <c r="AD116" s="2" t="s">
        <v>447</v>
      </c>
      <c r="AE116" s="2" t="s">
        <v>223</v>
      </c>
      <c r="AF116" s="2" t="s">
        <v>224</v>
      </c>
      <c r="AG116" s="2" t="s">
        <v>2</v>
      </c>
      <c r="AH116" s="2" t="s">
        <v>225</v>
      </c>
      <c r="AI116" s="2" t="s">
        <v>193</v>
      </c>
    </row>
    <row r="117" spans="1:35">
      <c r="A117" s="2" t="s">
        <v>1572</v>
      </c>
      <c r="B117" s="2" t="s">
        <v>1573</v>
      </c>
      <c r="C117" s="2" t="s">
        <v>1574</v>
      </c>
      <c r="D117" s="2" t="s">
        <v>1575</v>
      </c>
      <c r="E117" t="s">
        <v>1576</v>
      </c>
      <c r="F117" s="2" t="s">
        <v>213</v>
      </c>
      <c r="G117" s="2" t="s">
        <v>1577</v>
      </c>
      <c r="H117" s="2" t="s">
        <v>1578</v>
      </c>
      <c r="I117" s="4" t="s">
        <v>1579</v>
      </c>
      <c r="J117" s="2" t="s">
        <v>2</v>
      </c>
      <c r="K117" s="2" t="s">
        <v>88</v>
      </c>
      <c r="L117" s="2">
        <v>9</v>
      </c>
      <c r="M117" s="2" t="s">
        <v>120</v>
      </c>
      <c r="N117" s="2" t="s">
        <v>218</v>
      </c>
      <c r="O117" s="2" t="s">
        <v>1309</v>
      </c>
      <c r="P117" s="2" t="s">
        <v>272</v>
      </c>
      <c r="Q117" s="2" t="s">
        <v>769</v>
      </c>
      <c r="R117" s="2" t="s">
        <v>261</v>
      </c>
      <c r="S117" s="2" t="s">
        <v>86</v>
      </c>
      <c r="T117" s="2" t="s">
        <v>1580</v>
      </c>
      <c r="U117" s="2" t="s">
        <v>183</v>
      </c>
      <c r="V117" s="2" t="s">
        <v>183</v>
      </c>
      <c r="W117" s="2" t="s">
        <v>183</v>
      </c>
      <c r="X117" s="2" t="s">
        <v>205</v>
      </c>
      <c r="Y117" s="2" t="s">
        <v>205</v>
      </c>
      <c r="Z117" s="2" t="s">
        <v>1581</v>
      </c>
      <c r="AA117" s="2" t="s">
        <v>1582</v>
      </c>
      <c r="AB117" s="2" t="s">
        <v>516</v>
      </c>
      <c r="AC117" s="2" t="s">
        <v>950</v>
      </c>
      <c r="AE117" s="2" t="s">
        <v>223</v>
      </c>
      <c r="AF117" s="2" t="s">
        <v>224</v>
      </c>
      <c r="AG117" s="2" t="s">
        <v>2</v>
      </c>
      <c r="AH117" s="2" t="s">
        <v>225</v>
      </c>
      <c r="AI117" s="2" t="s">
        <v>193</v>
      </c>
    </row>
    <row r="118" spans="1:35">
      <c r="A118" s="2" t="s">
        <v>1583</v>
      </c>
      <c r="B118" s="2" t="s">
        <v>1584</v>
      </c>
      <c r="C118" s="2" t="s">
        <v>1585</v>
      </c>
      <c r="D118" s="2" t="s">
        <v>1586</v>
      </c>
      <c r="E118" t="s">
        <v>256</v>
      </c>
      <c r="F118" s="2" t="s">
        <v>213</v>
      </c>
      <c r="G118" s="2" t="s">
        <v>1350</v>
      </c>
      <c r="H118" s="2" t="s">
        <v>1587</v>
      </c>
      <c r="I118" s="4" t="s">
        <v>1588</v>
      </c>
      <c r="J118" s="2" t="s">
        <v>2</v>
      </c>
      <c r="K118" s="2" t="s">
        <v>88</v>
      </c>
      <c r="L118" s="2">
        <v>9</v>
      </c>
      <c r="M118" s="2" t="s">
        <v>120</v>
      </c>
      <c r="N118" s="2" t="s">
        <v>218</v>
      </c>
      <c r="O118" s="2" t="s">
        <v>1589</v>
      </c>
      <c r="P118" s="2" t="s">
        <v>272</v>
      </c>
      <c r="Q118" s="2" t="s">
        <v>769</v>
      </c>
      <c r="R118" s="2" t="s">
        <v>234</v>
      </c>
      <c r="S118" s="2" t="s">
        <v>86</v>
      </c>
      <c r="T118" s="2" t="s">
        <v>1590</v>
      </c>
      <c r="U118" s="2" t="s">
        <v>183</v>
      </c>
      <c r="V118" s="2" t="s">
        <v>183</v>
      </c>
      <c r="W118" s="2" t="s">
        <v>183</v>
      </c>
      <c r="X118" s="2" t="s">
        <v>205</v>
      </c>
      <c r="Y118" s="2" t="s">
        <v>205</v>
      </c>
      <c r="Z118" s="2" t="s">
        <v>1591</v>
      </c>
      <c r="AA118" s="2" t="s">
        <v>1592</v>
      </c>
      <c r="AB118" s="2" t="s">
        <v>516</v>
      </c>
      <c r="AC118" s="2" t="s">
        <v>369</v>
      </c>
      <c r="AE118" s="2" t="s">
        <v>223</v>
      </c>
      <c r="AF118" s="2" t="s">
        <v>224</v>
      </c>
      <c r="AG118" s="2" t="s">
        <v>2</v>
      </c>
      <c r="AH118" s="2" t="s">
        <v>225</v>
      </c>
      <c r="AI118" s="2" t="s">
        <v>193</v>
      </c>
    </row>
    <row r="119" spans="1:35">
      <c r="A119" s="2" t="s">
        <v>1593</v>
      </c>
      <c r="B119" s="2" t="s">
        <v>1594</v>
      </c>
      <c r="C119" s="2" t="s">
        <v>1595</v>
      </c>
      <c r="D119" s="2" t="s">
        <v>1596</v>
      </c>
      <c r="E119" t="s">
        <v>1597</v>
      </c>
      <c r="F119" s="2" t="s">
        <v>213</v>
      </c>
      <c r="G119" s="2" t="s">
        <v>1598</v>
      </c>
      <c r="H119" s="2" t="s">
        <v>1599</v>
      </c>
      <c r="I119" s="4" t="s">
        <v>1600</v>
      </c>
      <c r="J119" s="2" t="s">
        <v>2</v>
      </c>
      <c r="K119" s="2" t="s">
        <v>88</v>
      </c>
      <c r="L119" s="2">
        <v>9</v>
      </c>
      <c r="M119" s="2" t="s">
        <v>120</v>
      </c>
      <c r="N119" s="2" t="s">
        <v>631</v>
      </c>
      <c r="O119" s="2" t="s">
        <v>1601</v>
      </c>
      <c r="P119" s="2" t="s">
        <v>219</v>
      </c>
      <c r="Q119" s="2" t="s">
        <v>1602</v>
      </c>
      <c r="R119" s="2" t="s">
        <v>261</v>
      </c>
      <c r="S119" s="2" t="s">
        <v>86</v>
      </c>
      <c r="T119" s="2" t="s">
        <v>1603</v>
      </c>
      <c r="U119" s="2" t="s">
        <v>183</v>
      </c>
      <c r="V119" s="2" t="s">
        <v>183</v>
      </c>
      <c r="W119" s="2" t="s">
        <v>183</v>
      </c>
      <c r="X119" s="2" t="s">
        <v>339</v>
      </c>
      <c r="Y119" s="2" t="s">
        <v>205</v>
      </c>
      <c r="Z119" s="2" t="s">
        <v>1604</v>
      </c>
      <c r="AA119" s="2" t="s">
        <v>1605</v>
      </c>
      <c r="AC119" s="2" t="s">
        <v>622</v>
      </c>
      <c r="AD119" s="2" t="s">
        <v>540</v>
      </c>
      <c r="AE119" s="2" t="s">
        <v>1168</v>
      </c>
      <c r="AF119" s="2" t="s">
        <v>1169</v>
      </c>
      <c r="AG119" s="2" t="s">
        <v>2</v>
      </c>
      <c r="AH119" s="2" t="s">
        <v>1170</v>
      </c>
      <c r="AI119" s="2" t="s">
        <v>193</v>
      </c>
    </row>
    <row r="120" spans="1:35">
      <c r="A120" s="2" t="s">
        <v>1606</v>
      </c>
      <c r="B120" s="2" t="s">
        <v>1607</v>
      </c>
      <c r="C120" s="2" t="s">
        <v>1608</v>
      </c>
      <c r="D120" s="2" t="s">
        <v>1609</v>
      </c>
      <c r="E120" t="s">
        <v>388</v>
      </c>
      <c r="F120" s="2" t="s">
        <v>333</v>
      </c>
      <c r="G120" s="2" t="s">
        <v>1610</v>
      </c>
      <c r="H120" s="2" t="s">
        <v>1611</v>
      </c>
      <c r="I120" s="4" t="s">
        <v>1612</v>
      </c>
      <c r="J120" s="2" t="s">
        <v>2</v>
      </c>
      <c r="K120" s="2" t="s">
        <v>88</v>
      </c>
      <c r="L120" s="2">
        <v>9</v>
      </c>
      <c r="M120" s="2" t="s">
        <v>111</v>
      </c>
      <c r="N120" s="2" t="s">
        <v>631</v>
      </c>
      <c r="O120" s="2" t="s">
        <v>1613</v>
      </c>
      <c r="P120" s="2" t="s">
        <v>1614</v>
      </c>
      <c r="Q120" s="2" t="s">
        <v>1615</v>
      </c>
      <c r="R120" s="2" t="s">
        <v>181</v>
      </c>
      <c r="S120" s="2" t="s">
        <v>86</v>
      </c>
      <c r="T120" s="2" t="s">
        <v>1616</v>
      </c>
      <c r="U120" s="2" t="s">
        <v>183</v>
      </c>
      <c r="V120" s="2" t="s">
        <v>183</v>
      </c>
      <c r="W120" s="2" t="s">
        <v>183</v>
      </c>
      <c r="X120" s="2" t="s">
        <v>205</v>
      </c>
      <c r="Y120" s="2" t="s">
        <v>339</v>
      </c>
      <c r="Z120" s="2" t="s">
        <v>1617</v>
      </c>
      <c r="AA120" s="2" t="s">
        <v>1618</v>
      </c>
      <c r="AB120" s="2" t="s">
        <v>476</v>
      </c>
      <c r="AC120" s="2" t="s">
        <v>315</v>
      </c>
      <c r="AE120" s="2" t="s">
        <v>190</v>
      </c>
      <c r="AF120" s="2" t="s">
        <v>191</v>
      </c>
      <c r="AG120" s="2" t="s">
        <v>2</v>
      </c>
      <c r="AH120" s="2" t="s">
        <v>192</v>
      </c>
      <c r="AI120" s="2" t="s">
        <v>342</v>
      </c>
    </row>
    <row r="121" spans="1:35">
      <c r="A121" s="2" t="s">
        <v>1619</v>
      </c>
      <c r="B121" s="2" t="s">
        <v>1620</v>
      </c>
      <c r="C121" s="2" t="s">
        <v>1621</v>
      </c>
      <c r="D121" s="2" t="s">
        <v>1622</v>
      </c>
      <c r="E121" t="s">
        <v>1623</v>
      </c>
      <c r="F121" s="2" t="s">
        <v>333</v>
      </c>
      <c r="G121" s="2" t="s">
        <v>1624</v>
      </c>
      <c r="H121" s="2" t="s">
        <v>1625</v>
      </c>
      <c r="I121" s="4" t="s">
        <v>1626</v>
      </c>
      <c r="J121" s="2" t="s">
        <v>2</v>
      </c>
      <c r="K121" s="2" t="s">
        <v>88</v>
      </c>
      <c r="L121" s="2">
        <v>9</v>
      </c>
      <c r="M121" s="2" t="s">
        <v>108</v>
      </c>
      <c r="N121" s="2" t="s">
        <v>631</v>
      </c>
      <c r="O121" s="2" t="s">
        <v>1627</v>
      </c>
      <c r="P121" s="2" t="s">
        <v>1628</v>
      </c>
      <c r="Q121" s="2" t="s">
        <v>1615</v>
      </c>
      <c r="R121" s="2" t="s">
        <v>181</v>
      </c>
      <c r="S121" s="2" t="s">
        <v>86</v>
      </c>
      <c r="T121" s="2" t="s">
        <v>1629</v>
      </c>
      <c r="U121" s="2" t="s">
        <v>183</v>
      </c>
      <c r="V121" s="2" t="s">
        <v>183</v>
      </c>
      <c r="W121" s="2" t="s">
        <v>183</v>
      </c>
      <c r="X121" s="2" t="s">
        <v>205</v>
      </c>
      <c r="Y121" s="2" t="s">
        <v>339</v>
      </c>
      <c r="Z121" s="2" t="s">
        <v>1630</v>
      </c>
      <c r="AA121" s="2" t="s">
        <v>1631</v>
      </c>
      <c r="AC121" s="2" t="s">
        <v>369</v>
      </c>
      <c r="AE121" s="2" t="s">
        <v>190</v>
      </c>
      <c r="AF121" s="2" t="s">
        <v>191</v>
      </c>
      <c r="AG121" s="2" t="s">
        <v>2</v>
      </c>
      <c r="AH121" s="2" t="s">
        <v>192</v>
      </c>
      <c r="AI121" s="2" t="s">
        <v>342</v>
      </c>
    </row>
    <row r="122" spans="1:35">
      <c r="A122" s="2" t="s">
        <v>1632</v>
      </c>
      <c r="B122" s="2" t="s">
        <v>1633</v>
      </c>
      <c r="C122" s="7" t="s">
        <v>1634</v>
      </c>
      <c r="D122" s="7" t="s">
        <v>1635</v>
      </c>
      <c r="E122" s="6" t="s">
        <v>256</v>
      </c>
      <c r="F122" s="7" t="s">
        <v>213</v>
      </c>
      <c r="G122" s="2" t="s">
        <v>1636</v>
      </c>
      <c r="H122" s="2" t="s">
        <v>1637</v>
      </c>
      <c r="I122" s="4" t="s">
        <v>1638</v>
      </c>
      <c r="J122" s="7" t="s">
        <v>2</v>
      </c>
      <c r="K122" s="7" t="s">
        <v>217</v>
      </c>
      <c r="L122" s="2">
        <v>10</v>
      </c>
      <c r="M122" s="2" t="s">
        <v>99</v>
      </c>
      <c r="N122" s="2" t="s">
        <v>177</v>
      </c>
      <c r="O122" s="2" t="s">
        <v>1639</v>
      </c>
      <c r="P122" s="2" t="s">
        <v>272</v>
      </c>
      <c r="Q122" s="2" t="s">
        <v>1640</v>
      </c>
      <c r="R122" s="2" t="s">
        <v>261</v>
      </c>
      <c r="S122" s="2" t="s">
        <v>82</v>
      </c>
      <c r="T122" s="2" t="s">
        <v>1641</v>
      </c>
      <c r="U122" s="2" t="s">
        <v>183</v>
      </c>
      <c r="V122" s="2" t="s">
        <v>183</v>
      </c>
      <c r="W122" s="2" t="s">
        <v>183</v>
      </c>
      <c r="X122" s="2" t="s">
        <v>184</v>
      </c>
      <c r="Y122" s="2" t="s">
        <v>184</v>
      </c>
      <c r="Z122" s="2" t="s">
        <v>1642</v>
      </c>
      <c r="AA122" s="2" t="s">
        <v>1643</v>
      </c>
      <c r="AB122" s="2" t="s">
        <v>476</v>
      </c>
      <c r="AC122" s="2" t="s">
        <v>477</v>
      </c>
      <c r="AE122" s="2" t="s">
        <v>223</v>
      </c>
      <c r="AF122" s="2" t="s">
        <v>224</v>
      </c>
      <c r="AG122" s="2" t="s">
        <v>2</v>
      </c>
      <c r="AH122" s="2" t="s">
        <v>225</v>
      </c>
      <c r="AI122" s="2" t="s">
        <v>193</v>
      </c>
    </row>
    <row r="123" spans="1:35">
      <c r="A123" s="2" t="s">
        <v>1644</v>
      </c>
      <c r="B123" s="2" t="s">
        <v>1645</v>
      </c>
      <c r="C123" s="7" t="s">
        <v>1646</v>
      </c>
      <c r="D123" s="7" t="s">
        <v>1647</v>
      </c>
      <c r="E123" s="6" t="s">
        <v>256</v>
      </c>
      <c r="F123" s="7" t="s">
        <v>213</v>
      </c>
      <c r="G123" s="2" t="s">
        <v>1636</v>
      </c>
      <c r="H123" s="2" t="s">
        <v>1648</v>
      </c>
      <c r="I123" s="4" t="s">
        <v>1649</v>
      </c>
      <c r="J123" s="7" t="s">
        <v>2</v>
      </c>
      <c r="K123" s="7" t="s">
        <v>217</v>
      </c>
      <c r="L123" s="2">
        <v>10</v>
      </c>
      <c r="M123" s="2" t="s">
        <v>99</v>
      </c>
      <c r="N123" s="2" t="s">
        <v>177</v>
      </c>
      <c r="O123" s="2" t="s">
        <v>1650</v>
      </c>
      <c r="P123" s="2" t="s">
        <v>272</v>
      </c>
      <c r="Q123" s="2" t="s">
        <v>1640</v>
      </c>
      <c r="R123" s="2" t="s">
        <v>261</v>
      </c>
      <c r="S123" s="2" t="s">
        <v>82</v>
      </c>
      <c r="T123" s="2" t="s">
        <v>1651</v>
      </c>
      <c r="U123" s="2" t="s">
        <v>183</v>
      </c>
      <c r="V123" s="2" t="s">
        <v>183</v>
      </c>
      <c r="W123" s="2" t="s">
        <v>183</v>
      </c>
      <c r="X123" s="2" t="s">
        <v>184</v>
      </c>
      <c r="Y123" s="2" t="s">
        <v>184</v>
      </c>
      <c r="Z123" s="2" t="s">
        <v>1652</v>
      </c>
      <c r="AA123" s="2" t="s">
        <v>1653</v>
      </c>
      <c r="AB123" s="2" t="s">
        <v>476</v>
      </c>
      <c r="AC123" s="2" t="s">
        <v>477</v>
      </c>
      <c r="AE123" s="2" t="s">
        <v>1168</v>
      </c>
      <c r="AF123" s="2" t="s">
        <v>1169</v>
      </c>
      <c r="AG123" s="2" t="s">
        <v>2</v>
      </c>
      <c r="AH123" s="2" t="s">
        <v>1170</v>
      </c>
      <c r="AI123" s="2" t="s">
        <v>193</v>
      </c>
    </row>
    <row r="124" spans="1:35">
      <c r="A124" s="2" t="s">
        <v>1654</v>
      </c>
      <c r="B124" s="2" t="s">
        <v>1655</v>
      </c>
      <c r="C124" s="7" t="s">
        <v>1656</v>
      </c>
      <c r="D124" s="7" t="s">
        <v>1657</v>
      </c>
      <c r="E124" s="6" t="s">
        <v>256</v>
      </c>
      <c r="F124" s="7" t="s">
        <v>213</v>
      </c>
      <c r="G124" s="2" t="s">
        <v>1636</v>
      </c>
      <c r="H124" s="2" t="s">
        <v>1658</v>
      </c>
      <c r="I124" s="4" t="s">
        <v>1659</v>
      </c>
      <c r="J124" s="7" t="s">
        <v>2</v>
      </c>
      <c r="K124" s="7" t="s">
        <v>217</v>
      </c>
      <c r="L124" s="2">
        <v>10</v>
      </c>
      <c r="M124" s="2" t="s">
        <v>126</v>
      </c>
      <c r="N124" s="2" t="s">
        <v>177</v>
      </c>
      <c r="O124" s="2" t="s">
        <v>1660</v>
      </c>
      <c r="P124" s="2" t="s">
        <v>219</v>
      </c>
      <c r="Q124" s="2" t="s">
        <v>1661</v>
      </c>
      <c r="R124" s="2" t="s">
        <v>181</v>
      </c>
      <c r="S124" s="2" t="s">
        <v>84</v>
      </c>
      <c r="T124" s="2" t="s">
        <v>1662</v>
      </c>
      <c r="U124" s="2" t="s">
        <v>183</v>
      </c>
      <c r="V124" s="2" t="s">
        <v>183</v>
      </c>
      <c r="W124" s="2" t="s">
        <v>183</v>
      </c>
      <c r="X124" s="2" t="s">
        <v>184</v>
      </c>
      <c r="Y124" s="2" t="s">
        <v>205</v>
      </c>
      <c r="Z124" s="2" t="s">
        <v>1663</v>
      </c>
      <c r="AA124" s="2" t="s">
        <v>1664</v>
      </c>
      <c r="AC124" s="2" t="s">
        <v>1028</v>
      </c>
      <c r="AE124" s="2" t="s">
        <v>223</v>
      </c>
      <c r="AF124" s="2" t="s">
        <v>224</v>
      </c>
      <c r="AG124" s="2" t="s">
        <v>2</v>
      </c>
      <c r="AH124" s="2" t="s">
        <v>225</v>
      </c>
      <c r="AI124" s="2" t="s">
        <v>193</v>
      </c>
    </row>
    <row r="125" spans="1:35">
      <c r="A125" s="2" t="s">
        <v>1665</v>
      </c>
      <c r="B125" s="2" t="s">
        <v>1666</v>
      </c>
      <c r="C125" s="7" t="s">
        <v>1667</v>
      </c>
      <c r="D125" s="7" t="s">
        <v>1668</v>
      </c>
      <c r="E125" s="6" t="s">
        <v>256</v>
      </c>
      <c r="F125" s="7" t="s">
        <v>213</v>
      </c>
      <c r="G125" s="2" t="s">
        <v>1669</v>
      </c>
      <c r="H125" s="2" t="s">
        <v>1670</v>
      </c>
      <c r="I125" s="4" t="s">
        <v>1671</v>
      </c>
      <c r="J125" s="7" t="s">
        <v>2</v>
      </c>
      <c r="K125" s="7" t="s">
        <v>217</v>
      </c>
      <c r="L125" s="2">
        <v>10</v>
      </c>
      <c r="M125" s="2" t="s">
        <v>126</v>
      </c>
      <c r="N125" s="2" t="s">
        <v>177</v>
      </c>
      <c r="O125" s="2" t="s">
        <v>1672</v>
      </c>
      <c r="P125" s="2" t="s">
        <v>179</v>
      </c>
      <c r="Q125" s="2" t="s">
        <v>1673</v>
      </c>
      <c r="R125" s="2" t="s">
        <v>181</v>
      </c>
      <c r="S125" s="2" t="s">
        <v>84</v>
      </c>
      <c r="T125" s="2" t="s">
        <v>1674</v>
      </c>
      <c r="U125" s="2" t="s">
        <v>183</v>
      </c>
      <c r="V125" s="2" t="s">
        <v>183</v>
      </c>
      <c r="W125" s="2" t="s">
        <v>183</v>
      </c>
      <c r="X125" s="2" t="s">
        <v>205</v>
      </c>
      <c r="Y125" s="2" t="s">
        <v>205</v>
      </c>
      <c r="Z125" s="2" t="s">
        <v>1675</v>
      </c>
      <c r="AA125" s="2" t="s">
        <v>1676</v>
      </c>
      <c r="AB125" s="2" t="s">
        <v>476</v>
      </c>
      <c r="AC125" s="2" t="s">
        <v>477</v>
      </c>
      <c r="AE125" s="2" t="s">
        <v>370</v>
      </c>
      <c r="AF125" s="2" t="s">
        <v>371</v>
      </c>
      <c r="AG125" s="2" t="s">
        <v>2</v>
      </c>
      <c r="AH125" s="2" t="s">
        <v>372</v>
      </c>
      <c r="AI125" s="2" t="s">
        <v>193</v>
      </c>
    </row>
    <row r="126" spans="1:35">
      <c r="A126" s="2" t="s">
        <v>1677</v>
      </c>
      <c r="B126" s="2" t="s">
        <v>1678</v>
      </c>
      <c r="C126" s="2" t="s">
        <v>1679</v>
      </c>
      <c r="D126" s="2" t="s">
        <v>1680</v>
      </c>
      <c r="E126" t="s">
        <v>256</v>
      </c>
      <c r="F126" s="2" t="s">
        <v>213</v>
      </c>
      <c r="G126" s="2" t="s">
        <v>1681</v>
      </c>
      <c r="H126" s="2" t="s">
        <v>1682</v>
      </c>
      <c r="I126" s="4" t="s">
        <v>1683</v>
      </c>
      <c r="J126" s="2" t="s">
        <v>2</v>
      </c>
      <c r="K126" s="2" t="s">
        <v>88</v>
      </c>
      <c r="L126" s="2">
        <v>10</v>
      </c>
      <c r="M126" s="2" t="s">
        <v>126</v>
      </c>
      <c r="N126" s="2" t="s">
        <v>218</v>
      </c>
      <c r="O126" s="2" t="s">
        <v>1684</v>
      </c>
      <c r="P126" s="2" t="s">
        <v>219</v>
      </c>
      <c r="Q126" s="2" t="s">
        <v>273</v>
      </c>
      <c r="R126" s="2" t="s">
        <v>181</v>
      </c>
      <c r="S126" s="2" t="s">
        <v>84</v>
      </c>
      <c r="T126" s="2" t="s">
        <v>1685</v>
      </c>
      <c r="U126" s="2" t="s">
        <v>183</v>
      </c>
      <c r="V126" s="2" t="s">
        <v>183</v>
      </c>
      <c r="W126" s="2" t="s">
        <v>183</v>
      </c>
      <c r="X126" s="2" t="s">
        <v>339</v>
      </c>
      <c r="Y126" s="2" t="s">
        <v>205</v>
      </c>
      <c r="Z126" s="2" t="s">
        <v>1686</v>
      </c>
      <c r="AA126" s="2" t="s">
        <v>1687</v>
      </c>
      <c r="AB126" s="2" t="s">
        <v>476</v>
      </c>
      <c r="AC126" s="2" t="s">
        <v>1688</v>
      </c>
      <c r="AD126" s="2" t="s">
        <v>411</v>
      </c>
      <c r="AE126" s="2" t="s">
        <v>223</v>
      </c>
      <c r="AF126" s="2" t="s">
        <v>224</v>
      </c>
      <c r="AG126" s="2" t="s">
        <v>2</v>
      </c>
      <c r="AH126" s="2" t="s">
        <v>225</v>
      </c>
      <c r="AI126" s="2" t="s">
        <v>193</v>
      </c>
    </row>
    <row r="127" spans="1:35">
      <c r="A127" s="2" t="s">
        <v>1689</v>
      </c>
      <c r="B127" s="2" t="s">
        <v>1690</v>
      </c>
      <c r="C127" s="2" t="s">
        <v>1691</v>
      </c>
      <c r="D127" s="2" t="s">
        <v>1692</v>
      </c>
      <c r="E127" t="s">
        <v>388</v>
      </c>
      <c r="F127" s="2" t="s">
        <v>333</v>
      </c>
      <c r="G127" s="2" t="s">
        <v>1693</v>
      </c>
      <c r="H127" s="2" t="s">
        <v>1694</v>
      </c>
      <c r="I127" s="4" t="s">
        <v>1695</v>
      </c>
      <c r="J127" s="2" t="s">
        <v>2</v>
      </c>
      <c r="K127" s="2" t="s">
        <v>88</v>
      </c>
      <c r="L127" s="2">
        <v>10</v>
      </c>
      <c r="M127" s="2" t="s">
        <v>130</v>
      </c>
      <c r="N127" s="2" t="s">
        <v>218</v>
      </c>
      <c r="O127" s="2" t="s">
        <v>1696</v>
      </c>
      <c r="P127" s="2" t="s">
        <v>179</v>
      </c>
      <c r="Q127" s="2" t="s">
        <v>1673</v>
      </c>
      <c r="R127" s="2" t="s">
        <v>181</v>
      </c>
      <c r="S127" s="2" t="s">
        <v>86</v>
      </c>
      <c r="T127" s="2" t="s">
        <v>1697</v>
      </c>
      <c r="U127" s="2" t="s">
        <v>183</v>
      </c>
      <c r="V127" s="2" t="s">
        <v>183</v>
      </c>
      <c r="W127" s="2" t="s">
        <v>183</v>
      </c>
      <c r="X127" s="2" t="s">
        <v>339</v>
      </c>
      <c r="Y127" s="2" t="s">
        <v>184</v>
      </c>
      <c r="Z127" s="2" t="s">
        <v>1698</v>
      </c>
      <c r="AA127" s="2" t="s">
        <v>1699</v>
      </c>
      <c r="AB127" s="2" t="s">
        <v>476</v>
      </c>
      <c r="AC127" s="2" t="s">
        <v>477</v>
      </c>
      <c r="AE127" s="2" t="s">
        <v>370</v>
      </c>
      <c r="AF127" s="2" t="s">
        <v>371</v>
      </c>
      <c r="AG127" s="2" t="s">
        <v>2</v>
      </c>
      <c r="AH127" s="2" t="s">
        <v>372</v>
      </c>
      <c r="AI127" s="2" t="s">
        <v>342</v>
      </c>
    </row>
    <row r="128" spans="1:35">
      <c r="A128" s="2" t="s">
        <v>1700</v>
      </c>
      <c r="B128" s="2" t="s">
        <v>1701</v>
      </c>
      <c r="C128" s="2" t="s">
        <v>1702</v>
      </c>
      <c r="D128" s="2" t="s">
        <v>1703</v>
      </c>
      <c r="E128" t="s">
        <v>639</v>
      </c>
      <c r="F128" s="2" t="s">
        <v>333</v>
      </c>
      <c r="G128" s="2" t="s">
        <v>1704</v>
      </c>
      <c r="H128" s="2" t="s">
        <v>1705</v>
      </c>
      <c r="I128" s="4" t="s">
        <v>1706</v>
      </c>
      <c r="J128" s="2" t="s">
        <v>2</v>
      </c>
      <c r="K128" s="2" t="s">
        <v>88</v>
      </c>
      <c r="L128" s="2">
        <v>10</v>
      </c>
      <c r="M128" s="2" t="s">
        <v>126</v>
      </c>
      <c r="N128" s="2" t="s">
        <v>218</v>
      </c>
      <c r="O128" s="2" t="s">
        <v>1707</v>
      </c>
      <c r="P128" s="2" t="s">
        <v>272</v>
      </c>
      <c r="Q128" s="2" t="s">
        <v>1673</v>
      </c>
      <c r="R128" s="2" t="s">
        <v>261</v>
      </c>
      <c r="S128" s="2" t="s">
        <v>86</v>
      </c>
      <c r="T128" s="2" t="s">
        <v>1708</v>
      </c>
      <c r="U128" s="2" t="s">
        <v>183</v>
      </c>
      <c r="V128" s="2" t="s">
        <v>183</v>
      </c>
      <c r="W128" s="2" t="s">
        <v>183</v>
      </c>
      <c r="X128" s="2" t="s">
        <v>339</v>
      </c>
      <c r="Y128" s="2" t="s">
        <v>205</v>
      </c>
      <c r="Z128" s="2" t="s">
        <v>1709</v>
      </c>
      <c r="AA128" s="2" t="s">
        <v>1710</v>
      </c>
      <c r="AB128" s="2" t="s">
        <v>476</v>
      </c>
      <c r="AC128" s="2" t="s">
        <v>1028</v>
      </c>
      <c r="AE128" s="2" t="s">
        <v>223</v>
      </c>
      <c r="AF128" s="2" t="s">
        <v>224</v>
      </c>
      <c r="AG128" s="2" t="s">
        <v>2</v>
      </c>
      <c r="AH128" s="2" t="s">
        <v>225</v>
      </c>
      <c r="AI128" s="2" t="s">
        <v>342</v>
      </c>
    </row>
    <row r="129" spans="1:35">
      <c r="A129" s="2" t="s">
        <v>1711</v>
      </c>
      <c r="B129" s="2" t="s">
        <v>1712</v>
      </c>
      <c r="C129" s="2" t="s">
        <v>1713</v>
      </c>
      <c r="D129" s="2" t="s">
        <v>1714</v>
      </c>
      <c r="E129" t="s">
        <v>1715</v>
      </c>
      <c r="F129" s="2" t="s">
        <v>213</v>
      </c>
      <c r="G129" s="2" t="s">
        <v>1716</v>
      </c>
      <c r="H129" s="2" t="s">
        <v>1717</v>
      </c>
      <c r="I129" s="4" t="s">
        <v>1718</v>
      </c>
      <c r="J129" s="2" t="s">
        <v>2</v>
      </c>
      <c r="K129" s="2" t="s">
        <v>88</v>
      </c>
      <c r="L129" s="2">
        <v>10</v>
      </c>
      <c r="M129" s="2" t="s">
        <v>130</v>
      </c>
      <c r="N129" s="2" t="s">
        <v>218</v>
      </c>
      <c r="O129" s="2" t="s">
        <v>1601</v>
      </c>
      <c r="P129" s="2" t="s">
        <v>219</v>
      </c>
      <c r="Q129" s="2" t="s">
        <v>1719</v>
      </c>
      <c r="R129" s="2" t="s">
        <v>181</v>
      </c>
      <c r="S129" s="2" t="s">
        <v>84</v>
      </c>
      <c r="T129" s="2" t="s">
        <v>1720</v>
      </c>
      <c r="U129" s="2" t="s">
        <v>183</v>
      </c>
      <c r="V129" s="2" t="s">
        <v>183</v>
      </c>
      <c r="W129" s="2" t="s">
        <v>183</v>
      </c>
      <c r="X129" s="2" t="s">
        <v>339</v>
      </c>
      <c r="Y129" s="2" t="s">
        <v>184</v>
      </c>
      <c r="Z129" s="2" t="s">
        <v>1721</v>
      </c>
      <c r="AA129" s="2" t="s">
        <v>1722</v>
      </c>
      <c r="AB129" s="2" t="s">
        <v>476</v>
      </c>
      <c r="AC129" s="2" t="s">
        <v>477</v>
      </c>
      <c r="AD129" s="2" t="s">
        <v>478</v>
      </c>
      <c r="AE129" s="2" t="s">
        <v>223</v>
      </c>
      <c r="AF129" s="2" t="s">
        <v>224</v>
      </c>
      <c r="AG129" s="2" t="s">
        <v>2</v>
      </c>
      <c r="AH129" s="2" t="s">
        <v>225</v>
      </c>
      <c r="AI129" s="2" t="s">
        <v>193</v>
      </c>
    </row>
    <row r="130" spans="1:35">
      <c r="A130" s="2" t="s">
        <v>1723</v>
      </c>
      <c r="B130" s="2" t="s">
        <v>1724</v>
      </c>
      <c r="C130" s="4" t="s">
        <v>1725</v>
      </c>
      <c r="D130" s="4" t="s">
        <v>1726</v>
      </c>
      <c r="E130" s="2" t="s">
        <v>1727</v>
      </c>
      <c r="F130" s="2" t="s">
        <v>1728</v>
      </c>
      <c r="G130" s="2" t="s">
        <v>1729</v>
      </c>
      <c r="H130" s="2" t="s">
        <v>1730</v>
      </c>
      <c r="I130" s="4" t="s">
        <v>1731</v>
      </c>
      <c r="J130" s="2" t="s">
        <v>2</v>
      </c>
      <c r="K130" s="2" t="s">
        <v>88</v>
      </c>
      <c r="L130" s="2" t="s">
        <v>128</v>
      </c>
      <c r="M130" s="2" t="s">
        <v>130</v>
      </c>
      <c r="N130" s="2" t="s">
        <v>177</v>
      </c>
      <c r="O130" s="2" t="s">
        <v>472</v>
      </c>
      <c r="P130" s="2" t="s">
        <v>364</v>
      </c>
      <c r="Q130" s="2" t="s">
        <v>1732</v>
      </c>
      <c r="R130" s="2" t="s">
        <v>181</v>
      </c>
      <c r="S130" s="2" t="s">
        <v>82</v>
      </c>
      <c r="T130" s="2" t="s">
        <v>1733</v>
      </c>
      <c r="U130" s="2" t="s">
        <v>183</v>
      </c>
      <c r="V130" s="2" t="s">
        <v>183</v>
      </c>
      <c r="W130" s="2" t="s">
        <v>183</v>
      </c>
      <c r="X130" s="2" t="s">
        <v>205</v>
      </c>
      <c r="Y130" s="2" t="s">
        <v>184</v>
      </c>
      <c r="Z130" s="2" t="s">
        <v>1734</v>
      </c>
      <c r="AA130" s="2" t="s">
        <v>1735</v>
      </c>
      <c r="AB130" s="2" t="s">
        <v>461</v>
      </c>
      <c r="AC130" s="2" t="s">
        <v>1736</v>
      </c>
      <c r="AD130" s="2" t="s">
        <v>463</v>
      </c>
      <c r="AE130" s="2" t="s">
        <v>412</v>
      </c>
      <c r="AF130" s="2" t="s">
        <v>191</v>
      </c>
      <c r="AG130" s="2" t="s">
        <v>2</v>
      </c>
      <c r="AH130" s="2" t="s">
        <v>192</v>
      </c>
      <c r="AI130" s="2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zoomScaleNormal="100" zoomScaleSheetLayoutView="100" workbookViewId="0"/>
  </sheetViews>
  <sheetFormatPr defaultRowHeight="15"/>
  <cols>
    <col min="1" max="7" width="28" customWidth="1"/>
  </cols>
  <sheetData>
    <row r="1" spans="1:7">
      <c r="A1" s="11" t="s">
        <v>1737</v>
      </c>
      <c r="B1" s="11" t="s">
        <v>1738</v>
      </c>
      <c r="C1" s="11" t="s">
        <v>1739</v>
      </c>
      <c r="D1" s="11" t="s">
        <v>1740</v>
      </c>
      <c r="E1" s="11" t="s">
        <v>1741</v>
      </c>
      <c r="F1" s="11" t="s">
        <v>1742</v>
      </c>
      <c r="G1" s="11" t="s">
        <v>1743</v>
      </c>
    </row>
    <row r="2" spans="1:7">
      <c r="A2" s="2" t="s">
        <v>2</v>
      </c>
      <c r="B2" s="2" t="s">
        <v>1744</v>
      </c>
      <c r="C2" s="2">
        <v>38</v>
      </c>
      <c r="D2" s="2" t="s">
        <v>1745</v>
      </c>
      <c r="E2" s="2">
        <v>0</v>
      </c>
      <c r="F2" s="2">
        <v>0</v>
      </c>
      <c r="G2" s="2" t="s">
        <v>1746</v>
      </c>
    </row>
    <row r="3" spans="1:7">
      <c r="A3" s="2" t="s">
        <v>2</v>
      </c>
      <c r="B3" s="2" t="s">
        <v>1747</v>
      </c>
      <c r="C3" s="2" t="s">
        <v>1748</v>
      </c>
      <c r="D3" s="2" t="s">
        <v>15</v>
      </c>
      <c r="E3" s="2" t="s">
        <v>15</v>
      </c>
      <c r="F3" s="2" t="s">
        <v>15</v>
      </c>
      <c r="G3" s="2" t="s">
        <v>1749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Knapp, Dallas</dc:creator>
  <cp:keywords/>
  <dc:description/>
  <cp:lastModifiedBy/>
  <cp:revision/>
  <dcterms:created xsi:type="dcterms:W3CDTF">2026-08-13T14:51:06Z</dcterms:created>
  <dcterms:modified xsi:type="dcterms:W3CDTF">2026-08-13T14:55:33Z</dcterms:modified>
  <cp:category/>
  <cp:contentStatus/>
</cp:coreProperties>
</file>
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Source Pass Summary" sheetId="1" state="visible" r:id="rId1"/>
    <sheet name="Guide &amp; Legend" sheetId="2" state="visible" r:id="rId2"/>
    <sheet name="Source Discovery Log" sheetId="3" state="visible" r:id="rId3"/>
    <sheet name="Dashboard" sheetId="4" state="visible" r:id="rId4"/>
    <sheet name="Evidence Matrix" sheetId="5" state="visible" r:id="rId5"/>
    <sheet name="Source Patch Log" sheetId="6" state="visible" r:id="rId6"/>
  </sheets>
  <definedNames/>
  <calcPr calcId="191028" fullCalcOnLoad="1" refMode="R1C1" iterateCount="0" calcOnSave="0" concurrentCalc="0"/>
</workbook>
</file>

<file path=xl/styles.xml><?xml version="1.0" encoding="utf-8"?>
<styleSheet xmlns="http://schemas.openxmlformats.org/spreadsheetml/2006/main">
  <numFmts count="0"/>
  <fonts count="5">
    <font>
      <name val="Calibri"/>
      <family val="2"/>
      <color theme="1"/>
      <sz val="11"/>
      <scheme val="minor"/>
    </font>
    <font>
      <name val="Calibri"/>
      <family val="2"/>
      <b val="1"/>
      <color rgb="FFFFFFFF"/>
      <sz val="11"/>
      <scheme val="minor"/>
    </font>
    <font>
      <name val="Calibri"/>
      <family val="2"/>
      <color rgb="FF0000FF"/>
      <sz val="11"/>
      <u val="single"/>
      <scheme val="minor"/>
    </font>
    <font>
      <name val="Calibri"/>
      <b val="1"/>
      <color rgb="FFFFFFFF"/>
      <sz val="11"/>
    </font>
    <font>
      <name val="Calibri"/>
      <b val="1"/>
      <sz val="11"/>
    </font>
  </fonts>
  <fills count="7">
    <fill>
      <patternFill/>
    </fill>
    <fill>
      <patternFill patternType="gray125"/>
    </fill>
    <fill>
      <patternFill patternType="solid">
        <fgColor rgb="FF1F4E79"/>
      </patternFill>
    </fill>
    <fill>
      <patternFill patternType="solid">
        <fgColor rgb="FF375623"/>
      </patternFill>
    </fill>
    <fill>
      <patternFill patternType="solid">
        <fgColor rgb="FF35306B"/>
      </patternFill>
    </fill>
    <fill>
      <patternFill patternType="solid">
        <fgColor rgb="FFD9EAD3"/>
      </patternFill>
    </fill>
    <fill>
      <patternFill patternType="solid">
        <fgColor rgb="FF1F4E78"/>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1" fillId="3" borderId="0" applyAlignment="1" pivotButton="0" quotePrefix="0" xfId="0">
      <alignment vertical="center" wrapText="1"/>
    </xf>
    <xf numFmtId="0" fontId="2" fillId="0" borderId="0" applyAlignment="1" pivotButton="0" quotePrefix="0" xfId="0">
      <alignment vertical="top" wrapText="1"/>
    </xf>
    <xf numFmtId="0" fontId="3" fillId="4" borderId="0" applyAlignment="1" pivotButton="0" quotePrefix="0" xfId="0">
      <alignment vertical="top" wrapText="1"/>
    </xf>
    <xf numFmtId="0" fontId="0" fillId="5" borderId="0" pivotButton="0" quotePrefix="0" xfId="0"/>
    <xf numFmtId="0" fontId="0" fillId="5" borderId="0" applyAlignment="1" pivotButton="0" quotePrefix="0" xfId="0">
      <alignment vertical="top" wrapText="1"/>
    </xf>
    <xf numFmtId="0" fontId="4" fillId="0" borderId="0" pivotButton="0" quotePrefix="0" xfId="0"/>
    <xf numFmtId="0" fontId="0" fillId="0" borderId="0" applyAlignment="1" pivotButton="0" quotePrefix="0" xfId="0">
      <alignment wrapText="1"/>
    </xf>
    <xf numFmtId="0" fontId="1" fillId="3" borderId="0" applyAlignment="1" pivotButton="0" quotePrefix="0" xfId="0">
      <alignment vertical="top" wrapText="1"/>
    </xf>
    <xf numFmtId="0" fontId="3" fillId="6"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tabSelected="1" zoomScaleNormal="100" zoomScaleSheetLayoutView="100" workbookViewId="0">
      <selection activeCell="A1" sqref="A1"/>
    </sheetView>
  </sheetViews>
  <sheetFormatPr baseColWidth="8" defaultRowHeight="15"/>
  <cols>
    <col width="28" customWidth="1" min="1" max="1"/>
    <col width="90" customWidth="1" min="2" max="2"/>
  </cols>
  <sheetData>
    <row r="1">
      <c r="A1" s="5" t="inlineStr">
        <is>
          <t>Monstare Evidence Matrix - Source Location Pass v2</t>
        </is>
      </c>
      <c r="B1" s="5" t="n"/>
    </row>
    <row r="2">
      <c r="A2" s="2" t="inlineStr">
        <is>
          <t>Date</t>
        </is>
      </c>
      <c r="B2" s="2" t="inlineStr">
        <is>
          <t>2026-08-13</t>
        </is>
      </c>
    </row>
    <row r="3">
      <c r="A3" s="2" t="inlineStr">
        <is>
          <t>Scope</t>
        </is>
      </c>
      <c r="B3" s="2" t="inlineStr">
        <is>
          <t>Completed another source-location pass on remaining Priority A rows; after all A rows had a located source or access path, initiated Priority B pass through core theory + philosophy/QS rows.</t>
        </is>
      </c>
    </row>
    <row r="4">
      <c r="A4" s="2" t="inlineStr">
        <is>
          <t>Priority A outcome</t>
        </is>
      </c>
      <c r="B4" s="2" t="inlineStr">
        <is>
          <t>All remaining Priority A rows now have a readable URL, restricted but legal access path, or authoritative landing/source path recorded.</t>
        </is>
      </c>
    </row>
    <row r="5">
      <c r="A5" s="2" t="inlineStr">
        <is>
          <t>Priority B outcome</t>
        </is>
      </c>
      <c r="B5" s="2" t="inlineStr">
        <is>
          <t>Priority B started: core rows and Area 1/Area 2 early cluster updated where sources were found in this pass. Remaining B rows are left queued for the next pass.</t>
        </is>
      </c>
    </row>
    <row r="6">
      <c r="A6" s="2" t="inlineStr">
        <is>
          <t>Halting principle</t>
        </is>
      </c>
      <c r="B6" s="2" t="inlineStr">
        <is>
          <t>Stopped after A completion plus a coherent B tranche, rather than forcing weak/unverified links into the matrix. Rows with landing-only/restricted access are clearly marked.</t>
        </is>
      </c>
    </row>
    <row r="7">
      <c r="A7" s="2" t="inlineStr">
        <is>
          <t>Quality law</t>
        </is>
      </c>
      <c r="B7" s="2" t="inlineStr">
        <is>
          <t>Citation is still not evidence. Rows are source-located, not charted, until findings/effects/limits/disconfirmation are completed.</t>
        </is>
      </c>
    </row>
    <row r="8">
      <c r="A8" s="2" t="inlineStr">
        <is>
          <t>Rows updated</t>
        </is>
      </c>
      <c r="B8" s="2" t="n">
        <v>77</v>
      </c>
    </row>
    <row r="10">
      <c r="A10" s="8" t="inlineStr">
        <is>
          <t>PATCH UPDATE v3</t>
        </is>
      </c>
      <c r="B10" s="9" t="inlineStr"/>
    </row>
    <row r="11">
      <c r="A11" s="8" t="inlineStr">
        <is>
          <t>Patch date</t>
        </is>
      </c>
      <c r="B11" s="9" t="inlineStr">
        <is>
          <t>2026-08-13</t>
        </is>
      </c>
    </row>
    <row r="12">
      <c r="A12" s="8" t="inlineStr">
        <is>
          <t>Additive additions</t>
        </is>
      </c>
      <c r="B12" s="9" t="inlineStr">
        <is>
          <t>38 previously queued/missing rows source-located; 5 staleness columns added.</t>
        </is>
      </c>
    </row>
    <row r="13">
      <c r="A13" s="8" t="inlineStr">
        <is>
          <t>Subtractions</t>
        </is>
      </c>
      <c r="B13" s="9" t="inlineStr">
        <is>
          <t>None. No evidence rows, existing source URLs, comments, or formulas intentionally removed.</t>
        </is>
      </c>
    </row>
    <row r="14">
      <c r="A14" s="8" t="inlineStr">
        <is>
          <t>Quality law</t>
        </is>
      </c>
      <c r="B14" s="9" t="inlineStr">
        <is>
          <t>Source-located does not mean charted; findings/effects/limits/disconfirmation still require charting.</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37"/>
  <sheetViews>
    <sheetView showGridLines="0" workbookViewId="0">
      <selection activeCell="A1" sqref="A1"/>
    </sheetView>
  </sheetViews>
  <sheetFormatPr baseColWidth="8" defaultRowHeight="15"/>
  <cols>
    <col width="40.7109375" customWidth="1" min="1" max="1"/>
    <col width="22.7109375" customWidth="1" min="2" max="8"/>
  </cols>
  <sheetData>
    <row r="1">
      <c r="A1" s="1" t="inlineStr">
        <is>
          <t>MONSTARE EVIDENCE MATRIX</t>
        </is>
      </c>
    </row>
    <row r="2">
      <c r="A2" s="2" t="inlineStr">
        <is>
          <t>Rev 5 schema  |  Stage 3 charting instrument  |  Prepared for Dallas by Pip, with Locus/Council logic  |  12 Aug 2026</t>
        </is>
      </c>
    </row>
    <row r="4">
      <c r="A4" s="2" t="inlineStr">
        <is>
          <t>PURPOSE</t>
        </is>
      </c>
    </row>
    <row r="5">
      <c r="A5" s="2" t="inlineStr">
        <is>
          <t>This workbook is the Evidence Matrix called for in the Rev 5 research plan and the Version 2 execution plan.</t>
        </is>
      </c>
    </row>
    <row r="6">
      <c r="A6" s="2" t="inlineStr">
        <is>
          <t>It converts the integrated source architecture (Rev 5 Section 3B, the ten areas) into a chartable database.</t>
        </is>
      </c>
    </row>
    <row r="7">
      <c r="A7" s="2" t="inlineStr">
        <is>
          <t>The 'Evidence Matrix' sheet is SEEDED: descriptive/mapping columns are pre-filled from the plan; evidential</t>
        </is>
      </c>
    </row>
    <row r="8">
      <c r="A8" s="2" t="inlineStr">
        <is>
          <t>columns are left as [to chart] so charting still happens per source. Council rule: citation is not evidence.</t>
        </is>
      </c>
    </row>
    <row r="10">
      <c r="A10" s="2" t="inlineStr">
        <is>
          <t>HOW TO USE (Stage 3 charting)</t>
        </is>
      </c>
    </row>
    <row r="11">
      <c r="A11" s="2" t="inlineStr">
        <is>
          <t>1. Work top-to-bottom in the Rev 5 priority reading order (Phase 1 first: rows tagged Priority A in Areas 1,2,3,6).</t>
        </is>
      </c>
    </row>
    <row r="12">
      <c r="A12" s="2" t="inlineStr">
        <is>
          <t>2. For each source, retrieve it, then fill the [to chart] cells: Key Finding, Effect Size, Limitations, Disconfirming.</t>
        </is>
      </c>
    </row>
    <row r="13">
      <c r="A13" s="2" t="inlineStr">
        <is>
          <t>3. Set Verification Status to 'Verified' once the DOI/citation is confirmed (Section 4.6 discipline).</t>
        </is>
      </c>
    </row>
    <row r="14">
      <c r="A14" s="2" t="inlineStr">
        <is>
          <t>4. A source is not 'charted' until columns L-O are complete AND Verification = Verified.</t>
        </is>
      </c>
    </row>
    <row r="15">
      <c r="A15" s="2" t="inlineStr">
        <is>
          <t>5. The Dashboard sheet auto-counts progress by Area, Priority, and Workstream.</t>
        </is>
      </c>
    </row>
    <row r="17">
      <c r="A17" s="2" t="inlineStr">
        <is>
          <t>COLUMN DEFINITIONS</t>
        </is>
      </c>
    </row>
    <row r="18">
      <c r="A18" s="2" t="inlineStr">
        <is>
          <t>ID: stable source id (Area-number).            Citation: author/short title.</t>
        </is>
      </c>
    </row>
    <row r="19">
      <c r="A19" s="2" t="inlineStr">
        <is>
          <t>Verification: Pending / Verified / Unverifiable (per Section 4.6).</t>
        </is>
      </c>
    </row>
    <row r="20">
      <c r="A20" s="2" t="inlineStr">
        <is>
          <t>Area (1-10): the Rev 5 Section 3B source area.  Workstream: WS-A..WS-L (Rev 5 Section 7).</t>
        </is>
      </c>
    </row>
    <row r="21">
      <c r="A21" s="2" t="inlineStr">
        <is>
          <t>Priority: A load-bearing / B supporting / C contextual.  Function: TELOS/MECHANISM/WARNING/METHOD/DESIGN/MEASURE/CRITIQUE.</t>
        </is>
      </c>
    </row>
    <row r="22">
      <c r="A22" s="2" t="inlineStr">
        <is>
          <t>Evidence Type: empirical/theoretical/philosophical/review/methods/critique.  Domain: field of origin.</t>
        </is>
      </c>
    </row>
    <row r="23">
      <c r="A23" s="2" t="inlineStr">
        <is>
          <t>Causal Status: causal / correlational / conceptual / contested.  Cosmotechnic Relevance: high/medium/low.</t>
        </is>
      </c>
    </row>
    <row r="24">
      <c r="A24" s="2" t="inlineStr">
        <is>
          <t>Key Finding, Effect Size, Limitations, Disconfirming: the evidential charting columns (fill during Stage 3).</t>
        </is>
      </c>
    </row>
    <row r="25">
      <c r="A25" s="2" t="inlineStr">
        <is>
          <t>H1 / H2 Relevance: yes/partial/no.  Design &amp; Cosmotechnic Implication: what Monstare does with it.</t>
        </is>
      </c>
    </row>
    <row r="26">
      <c r="A26" s="2" t="inlineStr">
        <is>
          <t>Failure Mode Flagged: CF-1..CF-10 the source polices.  Artifact Affected: which operating artifact it feeds.</t>
        </is>
      </c>
    </row>
    <row r="27">
      <c r="A27" s="2" t="inlineStr">
        <is>
          <t>Open Charge Touched: OC-1..OC-13 the source opens, closes, or modifies.</t>
        </is>
      </c>
    </row>
    <row r="29">
      <c r="A29" s="2" t="inlineStr">
        <is>
          <t>KEYS</t>
        </is>
      </c>
    </row>
    <row r="30">
      <c r="A30" s="2" t="inlineStr">
        <is>
          <t>PRIORITY</t>
        </is>
      </c>
      <c r="B30" s="2" t="inlineStr">
        <is>
          <t>A = load-bearing (chart early)  |  B = strong supporting  |  C = contextual / bridge</t>
        </is>
      </c>
    </row>
    <row r="31">
      <c r="A31" s="2" t="inlineStr">
        <is>
          <t>FUNCTION</t>
        </is>
      </c>
      <c r="B31" s="2" t="inlineStr">
        <is>
          <t>TELOS defines purpose | MECHANISM how it works | WARNING failure modes | METHOD procedure | DESIGN artifact guidance | MEASURE operationalization | CRITIQUE challenges assumptions</t>
        </is>
      </c>
    </row>
    <row r="32">
      <c r="A32" s="2" t="inlineStr">
        <is>
          <t>AREAS 1-10</t>
        </is>
      </c>
      <c r="B32" s="2" t="inlineStr">
        <is>
          <t>1 Philosophy of tech beyond Hui | 2 Personal informatics/QS critique | 3 Critical HCI agency/moral friction | 4 Environmental psych place/restoration | 5 Phenomenological methods | 6 Automation ethics/autonomy | 7 AI offloading/self-regulation | 8 Ritual/symbolic practice | 9 Work productivity ecology | 10 Cross-cultural autonomy/technodiversity</t>
        </is>
      </c>
    </row>
    <row r="33">
      <c r="A33" s="2" t="inlineStr">
        <is>
          <t>FAILURE MODES</t>
        </is>
      </c>
      <c r="B33" s="2" t="inlineStr">
        <is>
          <t>CF-1 productivity without moral gain | CF-2 metric capture | CF-3 internalized coercion | CF-4 tech paternalism | CF-5 attentional extraction | CF-6 ecological flattening | CF-7 ritual hollowing | CF-8 universalization | CF-9 reversibility loss | CF-10 false cosmotechnics</t>
        </is>
      </c>
    </row>
    <row r="34">
      <c r="A34" s="2" t="inlineStr">
        <is>
          <t>WORKSTREAMS</t>
        </is>
      </c>
      <c r="B34" s="2" t="inlineStr">
        <is>
          <t>WS-A Motivation | WS-B Willpower/structure | WS-C Emotion regulation | WS-D Behavioral diagnosis | WS-E Environmental ecology | WS-F Phenomenology | WS-G Reference/consequence | WS-H Digital/temporal | WS-I Adverse effects | WS-J Moderators | WS-K Cosmotechnics | WS-L Moral ecology</t>
        </is>
      </c>
    </row>
    <row r="36">
      <c r="A36" s="2" t="inlineStr">
        <is>
          <t>SOURCE DISCOVERY UPDATE v1</t>
        </is>
      </c>
    </row>
    <row r="37">
      <c r="A37" s="2" t="inlineStr">
        <is>
          <t>Eight columns were added to Evidence Matrix: Readable Source URL, Source Landing URL, Access Type, Source Discovery Status, Discovery Notes, Suggested Search Query, Scholar/Web Search URL, and Source Checked Date. Direct links were added only where discovered in this first pass; all other rows are queued and not verified.</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36.7109375" customWidth="1" min="1" max="1"/>
    <col width="100.7109375" customWidth="1" min="2" max="2"/>
  </cols>
  <sheetData>
    <row r="1">
      <c r="A1" s="1" t="inlineStr">
        <is>
          <t>Field</t>
        </is>
      </c>
      <c r="B1" s="1" t="inlineStr">
        <is>
          <t>Value</t>
        </is>
      </c>
    </row>
    <row r="2">
      <c r="A2" s="2" t="inlineStr">
        <is>
          <t>Run purpose</t>
        </is>
      </c>
      <c r="B2" s="2" t="inlineStr">
        <is>
          <t>First-pass readable-source locator to make future context-window handoffs easier.</t>
        </is>
      </c>
    </row>
    <row r="3">
      <c r="A3" s="2" t="inlineStr">
        <is>
          <t>Run date</t>
        </is>
      </c>
      <c r="B3" s="2" t="inlineStr">
        <is>
          <t>2026-08-13</t>
        </is>
      </c>
    </row>
    <row r="4">
      <c r="A4" s="2" t="inlineStr">
        <is>
          <t>Rows with direct readable source added</t>
        </is>
      </c>
      <c r="B4" s="2" t="inlineStr">
        <is>
          <t>13</t>
        </is>
      </c>
    </row>
    <row r="5">
      <c r="A5" s="2" t="inlineStr">
        <is>
          <t>Companion Hui 2024 row added</t>
        </is>
      </c>
      <c r="B5" s="2" t="inlineStr">
        <is>
          <t>Yes, as HUI-2024, because it materially grounds the v6 design memo.</t>
        </is>
      </c>
    </row>
    <row r="6">
      <c r="A6" s="2" t="inlineStr">
        <is>
          <t>Default for unsearched rows</t>
        </is>
      </c>
      <c r="B6" s="2" t="inlineStr">
        <is>
          <t>Queued with suggested web query; not marked verified.</t>
        </is>
      </c>
    </row>
    <row r="7">
      <c r="A7" s="2" t="inlineStr">
        <is>
          <t>Charting rule preserved</t>
        </is>
      </c>
      <c r="B7" s="2" t="inlineStr">
        <is>
          <t>A row is not charted until evidential notes are completed and verification is confirmed.</t>
        </is>
      </c>
    </row>
    <row r="8">
      <c r="A8" s="2" t="inlineStr">
        <is>
          <t>Next recommended search pass</t>
        </is>
      </c>
      <c r="B8" s="2" t="inlineStr">
        <is>
          <t>Continue Priority A rows in Areas 1, 2, 3, 6, then core motivation/method sources.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26"/>
  <sheetViews>
    <sheetView showGridLines="0" workbookViewId="0">
      <selection activeCell="A1" sqref="A1"/>
    </sheetView>
  </sheetViews>
  <sheetFormatPr baseColWidth="8" defaultRowHeight="15"/>
  <cols>
    <col width="40.7109375" customWidth="1" min="1" max="1"/>
    <col width="22.7109375" customWidth="1" min="2" max="8"/>
  </cols>
  <sheetData>
    <row r="1">
      <c r="A1" s="1" t="inlineStr">
        <is>
          <t>MONSTARE EVIDENCE MATRIX — DASHBOARD</t>
        </is>
      </c>
    </row>
    <row r="2">
      <c r="A2" s="2" t="inlineStr">
        <is>
          <t>Live counts recalculated from the Evidence Matrix sheet. Charting progress = Verified rows.</t>
        </is>
      </c>
    </row>
    <row r="4">
      <c r="A4" s="2" t="inlineStr">
        <is>
          <t>TOTALS</t>
        </is>
      </c>
      <c r="F4" s="2" t="inlineStr">
        <is>
          <t>COSMOTECHNIC RELEVANCE</t>
        </is>
      </c>
    </row>
    <row r="5">
      <c r="A5" s="2" t="inlineStr">
        <is>
          <t>Total sources</t>
        </is>
      </c>
      <c r="B5" s="2">
        <f>COUNTA('Evidence Matrix'!A2:A129)</f>
        <v/>
      </c>
      <c r="F5" s="2" t="inlineStr">
        <is>
          <t>Level</t>
        </is>
      </c>
      <c r="H5" s="2" t="inlineStr">
        <is>
          <t>Count</t>
        </is>
      </c>
    </row>
    <row r="6">
      <c r="A6" s="2" t="inlineStr">
        <is>
          <t>Priority A (load-bearing)</t>
        </is>
      </c>
      <c r="B6" s="2">
        <f>COUNTIF('Evidence Matrix'!F2:F129,"A")</f>
        <v/>
      </c>
      <c r="F6" s="2" t="inlineStr">
        <is>
          <t>high</t>
        </is>
      </c>
      <c r="H6" s="2">
        <f>COUNTIF('Evidence Matrix'!K2:K129,"high")</f>
        <v/>
      </c>
    </row>
    <row r="7">
      <c r="A7" s="2" t="inlineStr">
        <is>
          <t>Priority B</t>
        </is>
      </c>
      <c r="B7" s="2">
        <f>COUNTIF('Evidence Matrix'!F2:F129,"B")</f>
        <v/>
      </c>
      <c r="F7" s="2" t="inlineStr">
        <is>
          <t>medium</t>
        </is>
      </c>
      <c r="H7" s="2">
        <f>COUNTIF('Evidence Matrix'!K2:K129,"medium")</f>
        <v/>
      </c>
    </row>
    <row r="8">
      <c r="A8" s="2" t="inlineStr">
        <is>
          <t>Priority C</t>
        </is>
      </c>
      <c r="B8" s="2">
        <f>COUNTIF('Evidence Matrix'!F2:F129,"C")</f>
        <v/>
      </c>
      <c r="F8" s="2" t="inlineStr">
        <is>
          <t>low</t>
        </is>
      </c>
      <c r="H8" s="2">
        <f>COUNTIF('Evidence Matrix'!K2:K129,"low")</f>
        <v/>
      </c>
    </row>
    <row r="9">
      <c r="A9" s="2" t="inlineStr">
        <is>
          <t>Verified (charted)</t>
        </is>
      </c>
      <c r="B9" s="2">
        <f>COUNTIF('Evidence Matrix'!C2:C129,"Verified")</f>
        <v/>
      </c>
    </row>
    <row r="10">
      <c r="A10" s="2" t="inlineStr">
        <is>
          <t>Pending</t>
        </is>
      </c>
      <c r="B10" s="2">
        <f>COUNTIF('Evidence Matrix'!C2:C129,"Pending")</f>
        <v/>
      </c>
    </row>
    <row r="11">
      <c r="A11" s="2" t="inlineStr">
        <is>
          <t>% charted</t>
        </is>
      </c>
      <c r="B11" s="2">
        <f>IF(B5=0,0,B9/B5)</f>
        <v/>
      </c>
    </row>
    <row r="13">
      <c r="A13" s="2" t="inlineStr">
        <is>
          <t>BY SOURCE AREA (1-10)</t>
        </is>
      </c>
      <c r="F13" s="2" t="inlineStr">
        <is>
          <t>BY WORKSTREAM</t>
        </is>
      </c>
    </row>
    <row r="14">
      <c r="A14" s="2" t="inlineStr">
        <is>
          <t>Area</t>
        </is>
      </c>
      <c r="B14" s="2" t="inlineStr">
        <is>
          <t>Description</t>
        </is>
      </c>
      <c r="C14" s="2" t="inlineStr">
        <is>
          <t>Sources</t>
        </is>
      </c>
      <c r="D14" s="2" t="inlineStr">
        <is>
          <t>Verified</t>
        </is>
      </c>
      <c r="F14" s="2" t="inlineStr">
        <is>
          <t>WS</t>
        </is>
      </c>
      <c r="G14" s="2" t="inlineStr">
        <is>
          <t>Focus</t>
        </is>
      </c>
      <c r="H14" s="2" t="inlineStr">
        <is>
          <t>Sources</t>
        </is>
      </c>
    </row>
    <row r="15">
      <c r="A15" s="2" t="n">
        <v>1</v>
      </c>
      <c r="B15" s="2" t="inlineStr">
        <is>
          <t>Philosophy of technology beyond Hui</t>
        </is>
      </c>
      <c r="C15" s="2">
        <f>COUNTIF('Evidence Matrix'!D2:D129,1)</f>
        <v/>
      </c>
      <c r="D15" s="2">
        <f>COUNTIFS('Evidence Matrix'!D2:D129,1,'Evidence Matrix'!C2:C129,"Verified")</f>
        <v/>
      </c>
      <c r="F15" s="2" t="inlineStr">
        <is>
          <t>WS-A</t>
        </is>
      </c>
      <c r="G15" s="2" t="inlineStr">
        <is>
          <t>Motivational quality</t>
        </is>
      </c>
      <c r="H15" s="2">
        <f>COUNTIF('Evidence Matrix'!E2:E129,"WS-A")</f>
        <v/>
      </c>
    </row>
    <row r="16">
      <c r="A16" s="2" t="n">
        <v>2</v>
      </c>
      <c r="B16" s="2" t="inlineStr">
        <is>
          <t>Personal informatics / QS critique</t>
        </is>
      </c>
      <c r="C16" s="2">
        <f>COUNTIF('Evidence Matrix'!D2:D129,2)</f>
        <v/>
      </c>
      <c r="D16" s="2">
        <f>COUNTIFS('Evidence Matrix'!D2:D129,2,'Evidence Matrix'!C2:C129,"Verified")</f>
        <v/>
      </c>
      <c r="F16" s="2" t="inlineStr">
        <is>
          <t>WS-B</t>
        </is>
      </c>
      <c r="G16" s="2" t="inlineStr">
        <is>
          <t>Willpower / structure</t>
        </is>
      </c>
      <c r="H16" s="2">
        <f>COUNTIF('Evidence Matrix'!E2:E129,"WS-B")</f>
        <v/>
      </c>
    </row>
    <row r="17">
      <c r="A17" s="2" t="n">
        <v>3</v>
      </c>
      <c r="B17" s="2" t="inlineStr">
        <is>
          <t>Critical HCI: agency &amp; moral friction</t>
        </is>
      </c>
      <c r="C17" s="2">
        <f>COUNTIF('Evidence Matrix'!D2:D129,3)</f>
        <v/>
      </c>
      <c r="D17" s="2">
        <f>COUNTIFS('Evidence Matrix'!D2:D129,3,'Evidence Matrix'!C2:C129,"Verified")</f>
        <v/>
      </c>
      <c r="F17" s="2" t="inlineStr">
        <is>
          <t>WS-C</t>
        </is>
      </c>
      <c r="G17" s="2" t="inlineStr">
        <is>
          <t>Emotion regulation</t>
        </is>
      </c>
      <c r="H17" s="2">
        <f>COUNTIF('Evidence Matrix'!E2:E129,"WS-C")</f>
        <v/>
      </c>
    </row>
    <row r="18">
      <c r="A18" s="2" t="n">
        <v>4</v>
      </c>
      <c r="B18" s="2" t="inlineStr">
        <is>
          <t>Environmental psychology: place &amp; restoration</t>
        </is>
      </c>
      <c r="C18" s="2">
        <f>COUNTIF('Evidence Matrix'!D2:D129,4)</f>
        <v/>
      </c>
      <c r="D18" s="2">
        <f>COUNTIFS('Evidence Matrix'!D2:D129,4,'Evidence Matrix'!C2:C129,"Verified")</f>
        <v/>
      </c>
      <c r="F18" s="2" t="inlineStr">
        <is>
          <t>WS-D</t>
        </is>
      </c>
      <c r="G18" s="2" t="inlineStr">
        <is>
          <t>Behavioral diagnosis</t>
        </is>
      </c>
      <c r="H18" s="2">
        <f>COUNTIF('Evidence Matrix'!E2:E129,"WS-D")</f>
        <v/>
      </c>
    </row>
    <row r="19">
      <c r="A19" s="2" t="n">
        <v>5</v>
      </c>
      <c r="B19" s="2" t="inlineStr">
        <is>
          <t>Phenomenological methods</t>
        </is>
      </c>
      <c r="C19" s="2">
        <f>COUNTIF('Evidence Matrix'!D2:D129,5)</f>
        <v/>
      </c>
      <c r="D19" s="2">
        <f>COUNTIFS('Evidence Matrix'!D2:D129,5,'Evidence Matrix'!C2:C129,"Verified")</f>
        <v/>
      </c>
      <c r="F19" s="2" t="inlineStr">
        <is>
          <t>WS-E</t>
        </is>
      </c>
      <c r="G19" s="2" t="inlineStr">
        <is>
          <t>Environmental ecology</t>
        </is>
      </c>
      <c r="H19" s="2">
        <f>COUNTIF('Evidence Matrix'!E2:E129,"WS-E")</f>
        <v/>
      </c>
    </row>
    <row r="20">
      <c r="A20" s="2" t="n">
        <v>6</v>
      </c>
      <c r="B20" s="2" t="inlineStr">
        <is>
          <t>Automation ethics &amp; autonomy</t>
        </is>
      </c>
      <c r="C20" s="2">
        <f>COUNTIF('Evidence Matrix'!D2:D129,6)</f>
        <v/>
      </c>
      <c r="D20" s="2">
        <f>COUNTIFS('Evidence Matrix'!D2:D129,6,'Evidence Matrix'!C2:C129,"Verified")</f>
        <v/>
      </c>
      <c r="F20" s="2" t="inlineStr">
        <is>
          <t>WS-F</t>
        </is>
      </c>
      <c r="G20" s="2" t="inlineStr">
        <is>
          <t>Phenomenology</t>
        </is>
      </c>
      <c r="H20" s="2">
        <f>COUNTIF('Evidence Matrix'!E2:E129,"WS-F")</f>
        <v/>
      </c>
    </row>
    <row r="21">
      <c r="A21" s="2" t="n">
        <v>7</v>
      </c>
      <c r="B21" s="2" t="inlineStr">
        <is>
          <t>AI offloading &amp; self-regulation</t>
        </is>
      </c>
      <c r="C21" s="2">
        <f>COUNTIF('Evidence Matrix'!D2:D129,7)</f>
        <v/>
      </c>
      <c r="D21" s="2">
        <f>COUNTIFS('Evidence Matrix'!D2:D129,7,'Evidence Matrix'!C2:C129,"Verified")</f>
        <v/>
      </c>
      <c r="F21" s="2" t="inlineStr">
        <is>
          <t>WS-G</t>
        </is>
      </c>
      <c r="G21" s="2" t="inlineStr">
        <is>
          <t>Reference / consequence</t>
        </is>
      </c>
      <c r="H21" s="2">
        <f>COUNTIF('Evidence Matrix'!E2:E129,"WS-G")</f>
        <v/>
      </c>
    </row>
    <row r="22">
      <c r="A22" s="2" t="n">
        <v>8</v>
      </c>
      <c r="B22" s="2" t="inlineStr">
        <is>
          <t>Ritual &amp; symbolic practice</t>
        </is>
      </c>
      <c r="C22" s="2">
        <f>COUNTIF('Evidence Matrix'!D2:D129,8)</f>
        <v/>
      </c>
      <c r="D22" s="2">
        <f>COUNTIFS('Evidence Matrix'!D2:D129,8,'Evidence Matrix'!C2:C129,"Verified")</f>
        <v/>
      </c>
      <c r="F22" s="2" t="inlineStr">
        <is>
          <t>WS-H</t>
        </is>
      </c>
      <c r="G22" s="2" t="inlineStr">
        <is>
          <t>Digital / temporal</t>
        </is>
      </c>
      <c r="H22" s="2">
        <f>COUNTIF('Evidence Matrix'!E2:E129,"WS-H")</f>
        <v/>
      </c>
    </row>
    <row r="23">
      <c r="A23" s="2" t="n">
        <v>9</v>
      </c>
      <c r="B23" s="2" t="inlineStr">
        <is>
          <t>Work productivity ecology</t>
        </is>
      </c>
      <c r="C23" s="2">
        <f>COUNTIF('Evidence Matrix'!D2:D129,9)</f>
        <v/>
      </c>
      <c r="D23" s="2">
        <f>COUNTIFS('Evidence Matrix'!D2:D129,9,'Evidence Matrix'!C2:C129,"Verified")</f>
        <v/>
      </c>
      <c r="F23" s="2" t="inlineStr">
        <is>
          <t>WS-I</t>
        </is>
      </c>
      <c r="G23" s="2" t="inlineStr">
        <is>
          <t>Adverse effects</t>
        </is>
      </c>
      <c r="H23" s="2">
        <f>COUNTIF('Evidence Matrix'!E2:E129,"WS-I")</f>
        <v/>
      </c>
    </row>
    <row r="24">
      <c r="A24" s="2" t="n">
        <v>10</v>
      </c>
      <c r="B24" s="2" t="inlineStr">
        <is>
          <t>Cross-cultural autonomy &amp; technodiversity</t>
        </is>
      </c>
      <c r="C24" s="2">
        <f>COUNTIF('Evidence Matrix'!D2:D129,10)</f>
        <v/>
      </c>
      <c r="D24" s="2">
        <f>COUNTIFS('Evidence Matrix'!D2:D129,10,'Evidence Matrix'!C2:C129,"Verified")</f>
        <v/>
      </c>
      <c r="F24" s="2" t="inlineStr">
        <is>
          <t>WS-J</t>
        </is>
      </c>
      <c r="G24" s="2" t="inlineStr">
        <is>
          <t>Moderators</t>
        </is>
      </c>
      <c r="H24" s="2">
        <f>COUNTIF('Evidence Matrix'!E2:E129,"WS-J")</f>
        <v/>
      </c>
    </row>
    <row r="25">
      <c r="A25" s="2" t="inlineStr">
        <is>
          <t>core+methods</t>
        </is>
      </c>
      <c r="B25" s="2" t="inlineStr">
        <is>
          <t>Carried core theory &amp; methods (Rev 3-4)</t>
        </is>
      </c>
      <c r="C25" s="2">
        <f>B5-SUM(C15:C24)</f>
        <v/>
      </c>
      <c r="D25" s="2">
        <f>COUNTIF('Evidence Matrix'!C2:C129,"Verified")-SUM(D15:D24)</f>
        <v/>
      </c>
      <c r="F25" s="2" t="inlineStr">
        <is>
          <t>WS-K</t>
        </is>
      </c>
      <c r="G25" s="2" t="inlineStr">
        <is>
          <t>Cosmotechnics</t>
        </is>
      </c>
      <c r="H25" s="2">
        <f>COUNTIF('Evidence Matrix'!E2:E129,"WS-K")</f>
        <v/>
      </c>
    </row>
    <row r="26">
      <c r="F26" s="2" t="inlineStr">
        <is>
          <t>WS-L</t>
        </is>
      </c>
      <c r="G26" s="2" t="inlineStr">
        <is>
          <t>Moral ecology</t>
        </is>
      </c>
      <c r="H26" s="2">
        <f>COUNTIF('Evidence Matrix'!E2:E129,"WS-L")</f>
        <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I130"/>
  <sheetViews>
    <sheetView showGridLines="0" workbookViewId="0">
      <selection activeCell="A1" sqref="A1"/>
    </sheetView>
  </sheetViews>
  <sheetFormatPr baseColWidth="8" defaultRowHeight="15"/>
  <cols>
    <col width="14.7109375" customWidth="1" min="1" max="1"/>
    <col width="34.7109375" customWidth="1" min="2" max="2"/>
    <col width="45" customWidth="1" min="3" max="4"/>
    <col width="22" customWidth="1" min="5" max="5"/>
    <col width="28" customWidth="1" min="6" max="6"/>
    <col width="55" customWidth="1" min="7" max="7"/>
    <col width="46.7109375" customWidth="1" min="8" max="8"/>
    <col width="42.7109375" customWidth="1" min="9" max="9"/>
    <col width="20" customWidth="1" min="10" max="11"/>
    <col width="12.7109375" customWidth="1" min="12" max="12"/>
    <col width="10.7109375" customWidth="1" min="13" max="14"/>
    <col width="20.7109375" customWidth="1" min="15" max="15"/>
    <col width="18.7109375" customWidth="1" min="16" max="17"/>
    <col width="16.7109375" customWidth="1" min="18" max="18"/>
    <col width="15.7109375" customWidth="1" min="19" max="19"/>
    <col width="50.7109375" customWidth="1" min="20" max="20"/>
    <col width="18.7109375" customWidth="1" min="21" max="26"/>
    <col width="45.7109375" customWidth="1" min="27" max="28"/>
    <col width="15.7109375" customWidth="1" min="29" max="29"/>
    <col width="30.7109375" customWidth="1" min="30" max="30"/>
    <col width="28" customWidth="1" min="31" max="31"/>
    <col width="18" customWidth="1" min="32" max="34"/>
    <col width="30" customWidth="1" min="35" max="35"/>
  </cols>
  <sheetData>
    <row r="1">
      <c r="A1" s="3" t="inlineStr">
        <is>
          <t>ID</t>
        </is>
      </c>
      <c r="B1" s="3" t="inlineStr">
        <is>
          <t>Citation</t>
        </is>
      </c>
      <c r="C1" s="10" t="inlineStr">
        <is>
          <t>Readable Source URL</t>
        </is>
      </c>
      <c r="D1" s="10" t="inlineStr">
        <is>
          <t>Source Landing URL</t>
        </is>
      </c>
      <c r="E1" s="3" t="inlineStr">
        <is>
          <t>Access Type</t>
        </is>
      </c>
      <c r="F1" s="3" t="inlineStr">
        <is>
          <t>Source Discovery Status</t>
        </is>
      </c>
      <c r="G1" s="10" t="inlineStr">
        <is>
          <t>Discovery Notes</t>
        </is>
      </c>
      <c r="H1" s="3" t="inlineStr">
        <is>
          <t>Suggested Search Query</t>
        </is>
      </c>
      <c r="I1" s="3" t="inlineStr">
        <is>
          <t>Scholar/Web Search URL</t>
        </is>
      </c>
      <c r="J1" s="3" t="inlineStr">
        <is>
          <t>Source Checked Date</t>
        </is>
      </c>
      <c r="K1" s="3" t="inlineStr">
        <is>
          <t>Verif.</t>
        </is>
      </c>
      <c r="L1" s="3" t="inlineStr">
        <is>
          <t>Area</t>
        </is>
      </c>
      <c r="M1" s="3" t="inlineStr">
        <is>
          <t>WS</t>
        </is>
      </c>
      <c r="N1" s="3" t="inlineStr">
        <is>
          <t>Pri</t>
        </is>
      </c>
      <c r="O1" s="3" t="inlineStr">
        <is>
          <t>Function</t>
        </is>
      </c>
      <c r="P1" s="3" t="inlineStr">
        <is>
          <t>Evidence Type</t>
        </is>
      </c>
      <c r="Q1" s="3" t="inlineStr">
        <is>
          <t>Domain</t>
        </is>
      </c>
      <c r="R1" s="3" t="inlineStr">
        <is>
          <t>Causal Status</t>
        </is>
      </c>
      <c r="S1" s="3" t="inlineStr">
        <is>
          <t>Cosmo Rel.</t>
        </is>
      </c>
      <c r="T1" s="3" t="inlineStr">
        <is>
          <t>Key Finding / Thesis</t>
        </is>
      </c>
      <c r="U1" s="3" t="inlineStr">
        <is>
          <t>Effect Size / Strength</t>
        </is>
      </c>
      <c r="V1" s="3" t="inlineStr">
        <is>
          <t>Limitations</t>
        </is>
      </c>
      <c r="W1" s="3" t="inlineStr">
        <is>
          <t>Disconfirming Implication</t>
        </is>
      </c>
      <c r="X1" s="3" t="inlineStr">
        <is>
          <t>H1</t>
        </is>
      </c>
      <c r="Y1" s="3" t="inlineStr">
        <is>
          <t>H2</t>
        </is>
      </c>
      <c r="Z1" s="3" t="inlineStr">
        <is>
          <t>Design Implication</t>
        </is>
      </c>
      <c r="AA1" s="3" t="inlineStr">
        <is>
          <t>Cosmotechnic Implication</t>
        </is>
      </c>
      <c r="AB1" s="3" t="inlineStr">
        <is>
          <t>Fail Mode</t>
        </is>
      </c>
      <c r="AC1" s="3" t="inlineStr">
        <is>
          <t>Artifact Affected</t>
        </is>
      </c>
      <c r="AD1" s="3" t="inlineStr">
        <is>
          <t>Open Charge</t>
        </is>
      </c>
      <c r="AE1" s="10" t="inlineStr">
        <is>
          <t>Staleness Domain</t>
        </is>
      </c>
      <c r="AF1" s="10" t="inlineStr">
        <is>
          <t>Re-search Interval</t>
        </is>
      </c>
      <c r="AG1" s="10" t="inlineStr">
        <is>
          <t>Last Verified Date</t>
        </is>
      </c>
      <c r="AH1" s="10" t="inlineStr">
        <is>
          <t>Re-search By</t>
        </is>
      </c>
      <c r="AI1" s="10" t="inlineStr">
        <is>
          <t>Staleness Status</t>
        </is>
      </c>
    </row>
    <row r="2">
      <c r="A2" s="2" t="inlineStr">
        <is>
          <t>CORE-01</t>
        </is>
      </c>
      <c r="B2" s="2" t="inlineStr">
        <is>
          <t>Ryan &amp; Deci — Self-Determination Theory (needs)</t>
        </is>
      </c>
      <c r="C2" s="4" t="inlineStr">
        <is>
          <t>https://selfdeterminationtheory.org/SDT/documents/2000_RyanDeci_SDT.pdf</t>
        </is>
      </c>
      <c r="D2" s="4" t="inlineStr">
        <is>
          <t>https://selfdeterminationtheory.org/theory/</t>
        </is>
      </c>
      <c r="E2" s="2" t="inlineStr">
        <is>
          <t>Open PDF / alternate SDT primary paper</t>
        </is>
      </c>
      <c r="F2" s="2" t="inlineStr">
        <is>
          <t>Readable source found - verify exact intended source before charting</t>
        </is>
      </c>
      <c r="G2" s="2" t="inlineStr">
        <is>
          <t>Matrix row names the SDT needs construct broadly. This link is Ryan &amp; Deci 2000 SDT overview; exact 2017 book is also discoverable but not necessarily legally open in full. Use this as an accessible primary anchor unless the project requires the 2017 Guilford book.; CHARTED 2026-08-13 batch 1 (motivational/cosmotechnic spine; full role QC pass); LOCUS 2026-08-13: supporting weight (not load-bearing); empirical anchor delegated per charting</t>
        </is>
      </c>
      <c r="H2" s="2" t="inlineStr">
        <is>
          <t>Ryan &amp; Deci — Self-Determination Theory (needs) pdf DOI readable source</t>
        </is>
      </c>
      <c r="I2" s="4" t="inlineStr">
        <is>
          <t>https://www.google.com/search?q=Ryan+%26+Deci+%E2%80%94+Self-Determination+Theory+%28needs%29+pdf+DOI+readable+source</t>
        </is>
      </c>
      <c r="J2" s="2" t="inlineStr">
        <is>
          <t>2026-08-13</t>
        </is>
      </c>
      <c r="K2" s="2" t="inlineStr">
        <is>
          <t>Charted - 2026-08-13</t>
        </is>
      </c>
      <c r="L2" s="2" t="inlineStr">
        <is>
          <t>core</t>
        </is>
      </c>
      <c r="M2" s="2" t="inlineStr">
        <is>
          <t>WS-A</t>
        </is>
      </c>
      <c r="N2" s="2" t="inlineStr">
        <is>
          <t>A</t>
        </is>
      </c>
      <c r="O2" s="2" t="inlineStr">
        <is>
          <t>TELOS/MECHANISM</t>
        </is>
      </c>
      <c r="P2" s="2" t="inlineStr">
        <is>
          <t>theoretical</t>
        </is>
      </c>
      <c r="Q2" s="2" t="inlineStr">
        <is>
          <t>motivation</t>
        </is>
      </c>
      <c r="R2" s="2" t="inlineStr">
        <is>
          <t>conceptual</t>
        </is>
      </c>
      <c r="S2" s="2" t="inlineStr">
        <is>
          <t>high</t>
        </is>
      </c>
      <c r="T2" s="2" t="inlineStr">
        <is>
          <t>Three innate psychological needs (competence, autonomy, relatedness) are the nutriments of intrinsic motivation and internalization; OIT continuum from external regulation to integrated regulation; CET specifies conditions that facilitate/undermine intrinsic motivation; autonomy is explicitly NOT independence/individualism; needs theorized as universal but socioculturally shaped. (Durability of effects is theorized, not demonstrated in-article.)</t>
        </is>
      </c>
      <c r="U2" s="2" t="inlineStr">
        <is>
          <t>not_quantifiable (framework article). Strength = high as foundational construct (an importance claim, not an effect size); the quantitative anchor for this row's empirical claims lives in CORE-05.</t>
        </is>
      </c>
      <c r="V2" s="2" t="inlineStr">
        <is>
          <t>2000 overview article (2017 Guilford book is the fuller statement but not legally open in full); three-need postulate is organismic-theoretical and 'inductively identified' within the SDT program, not independently proven in-article; universality claim asserted with cross-cultural support cited but not demonstrated here (cross-cultural evidence thin in 2000); need satisfaction not operationalized; causal language theoretical.</t>
        </is>
      </c>
      <c r="W2" s="2" t="inlineStr">
        <is>
          <t>Three needs were not demonstrated durable in this article (self-motivation and well-being claims are theoretical).</t>
        </is>
      </c>
      <c r="X2" s="2" t="inlineStr">
        <is>
          <t>yes</t>
        </is>
      </c>
      <c r="Y2" s="2" t="inlineStr">
        <is>
          <t>yes</t>
        </is>
      </c>
      <c r="Z2" s="2" t="inlineStr">
        <is>
          <t>Ground the need-support profile (M2): competence (optimal challenge, effectance-promoting feedback), autonomy (choice, volition, meaningful rationale, freedom from demeaning evaluation), relatedness (secure connection) as three distinguishable supports; relative autonomy is the operative distinction, not intrinsic vs extrinsic. M2 is a design heuristic, not a validated manipulation.</t>
        </is>
      </c>
      <c r="AA2" s="2" t="inlineStr">
        <is>
          <t>Motivation quality is the substrate of moral authorship (S1 telic) - Tier-P; autonomy must be operationalized as volition-within-context to guard against Western-individualist import (design constraint, not achieved property); consistency with Hui's pluralism is a working hypothesis that must absorb the tension between SDT's needs-universality claim and Hui's rejection of universal technics (cf. Limitations) before it can be asserted.</t>
        </is>
      </c>
      <c r="AB2" s="2" t="inlineStr">
        <is>
          <t>CF-3</t>
        </is>
      </c>
      <c r="AC2" s="2" t="inlineStr">
        <is>
          <t>Agency &amp; Autonomy Checklist</t>
        </is>
      </c>
      <c r="AD2" s="2" t="inlineStr">
        <is>
          <t>OC-8</t>
        </is>
      </c>
      <c r="AE2" s="2" t="inlineStr">
        <is>
          <t>General supporting source</t>
        </is>
      </c>
      <c r="AF2" s="2" t="inlineStr">
        <is>
          <t>36 months</t>
        </is>
      </c>
      <c r="AG2" s="2" t="inlineStr">
        <is>
          <t>2026-08-13</t>
        </is>
      </c>
      <c r="AH2" s="2" t="inlineStr">
        <is>
          <t>2029-08-13</t>
        </is>
      </c>
      <c r="AI2" s="2" t="inlineStr">
        <is>
          <t>Current - re-search on schedule</t>
        </is>
      </c>
    </row>
    <row r="3">
      <c r="A3" s="2" t="inlineStr">
        <is>
          <t>CORE-02</t>
        </is>
      </c>
      <c r="B3" s="2" t="inlineStr">
        <is>
          <t>Markland, Ryan, Tobin &amp; Rollnick — MI + SDT</t>
        </is>
      </c>
      <c r="C3" s="4" t="inlineStr">
        <is>
          <t>https://selfdeterminationtheory.org/SDT/documents/2005_MarklandRyanTobinRollnick_MotivationalInterviewing.pdf</t>
        </is>
      </c>
      <c r="D3" s="4" t="inlineStr">
        <is>
          <t>https://pure.ewha.ac.kr/en/publications/motivational-interviewing-and-self-determination-theory/</t>
        </is>
      </c>
      <c r="E3" s="2" t="inlineStr">
        <is>
          <t>Open PDF</t>
        </is>
      </c>
      <c r="F3" s="2" t="inlineStr">
        <is>
          <t>Readable source found</t>
        </is>
      </c>
      <c r="G3" s="2" t="inlineStr">
        <is>
          <t>DOI identified in search result as 10.1521/jscp.2005.24.6.811.; CHARTED 2026-08-13 batch 1 (motivational/cosmotechnic spine; full role QC pass); LOCUS 2026-08-13: supporting weight (not load-bearing); empirical anchor delegated per charting</t>
        </is>
      </c>
      <c r="H3" s="2" t="inlineStr">
        <is>
          <t>Markland, Ryan, Tobin &amp; Rollnick — MI + SDT pdf DOI readable source</t>
        </is>
      </c>
      <c r="I3" s="4" t="inlineStr">
        <is>
          <t>https://www.google.com/search?q=Markland%2C+Ryan%2C+Tobin+%26+Rollnick+%E2%80%94+MI+%2B+SDT+pdf+DOI+readable+source</t>
        </is>
      </c>
      <c r="J3" s="2" t="inlineStr">
        <is>
          <t>2026-08-13</t>
        </is>
      </c>
      <c r="K3" s="2" t="inlineStr">
        <is>
          <t>Charted - 2026-08-13</t>
        </is>
      </c>
      <c r="L3" s="2" t="inlineStr">
        <is>
          <t>core</t>
        </is>
      </c>
      <c r="M3" s="2" t="inlineStr">
        <is>
          <t>WS-A</t>
        </is>
      </c>
      <c r="N3" s="2" t="inlineStr">
        <is>
          <t>A</t>
        </is>
      </c>
      <c r="O3" s="2" t="inlineStr">
        <is>
          <t>MECHANISM</t>
        </is>
      </c>
      <c r="P3" s="2" t="inlineStr">
        <is>
          <t>theoretical</t>
        </is>
      </c>
      <c r="Q3" s="2" t="inlineStr">
        <is>
          <t>motivation</t>
        </is>
      </c>
      <c r="R3" s="2" t="inlineStr">
        <is>
          <t>conceptual</t>
        </is>
      </c>
      <c r="S3" s="2" t="inlineStr">
        <is>
          <t>medium</t>
        </is>
      </c>
      <c r="T3" s="2" t="inlineStr">
        <is>
          <t>MI and SDT share the assumption of an innate human tendency toward growth and psychological integration; MI provides the social-environmental facilitating factors SDT specifies (autonomy support, competence, relatedness) for promoting this tendency; SDT offers a coherent theoretical framework for MI's processes and efficacy; MI is an autonomy-supportive but 'intentionally directive' clinical method (non-persuasive in style) whose effects can be understood through internalization.</t>
        </is>
      </c>
      <c r="U3" s="2" t="inlineStr">
        <is>
          <t>not_quantifiable (theoretical framework proposal; no ES in the paper).</t>
        </is>
      </c>
      <c r="V3" s="2" t="inlineStr">
        <is>
          <t>Theoretical synthesis, not empirical test; parallels drawn, causal pathways proposed but not demonstrated here; MI's efficacy is cited from elsewhere and that evidence base carries methodological problems acknowledged in the paper itself ('reasonably consistent and robust effects... despite methodological problems in many of the studies'); no controlled data in this article; the SDT-MI fit remains to be tested.</t>
        </is>
      </c>
      <c r="W3" s="2" t="inlineStr">
        <is>
          <t>If MI's efficacy does not operate through need-support/internalization pathways, the SDT framing misdescribes the mechanism; if brief interventions change behavior without autonomy support, the social-environmental account is incomplete; MI outcomes may partly reflect non-SDT mechanisms (alliance, expectancy); MI's directiveness means 'non-coercive' must be read as style, not telos.</t>
        </is>
      </c>
      <c r="X3" s="2" t="inlineStr">
        <is>
          <t>yes</t>
        </is>
      </c>
      <c r="Y3" s="2" t="inlineStr">
        <is>
          <t>partial</t>
        </is>
      </c>
      <c r="Z3" s="2" t="inlineStr">
        <is>
          <t>Autonomy-preserving conversational method for ambivalence (Self-Nudging Design Card): MI-style reflective listening, empathy, development of discrepancy, rolling with resistance, supporting self-efficacy; the card must not promise pure non-directiveness - the change goal is co-constructed in method, but its telos remains the person's own (per Ethics Auditor alignment); style is non-persuasive.</t>
        </is>
      </c>
      <c r="AA3" s="2" t="inlineStr">
        <is>
          <t>Candidate technics of listening: MI's non-coercive grammar instantiates the moral dimension of the cosmos-ethic-technics unity at the interpersonal scale, under the condition that the change's telos (not only its means) is defined by the person - otherwise compliance engineering with a gentle grammar; cosmological condition underdetermined (Tier-P, medium Cosmo Rel.).</t>
        </is>
      </c>
      <c r="AB3" s="2" t="inlineStr">
        <is>
          <t>CF-3</t>
        </is>
      </c>
      <c r="AC3" s="2" t="inlineStr">
        <is>
          <t>Self-Nudging Design Card</t>
        </is>
      </c>
      <c r="AE3" s="2" t="inlineStr">
        <is>
          <t>General supporting source</t>
        </is>
      </c>
      <c r="AF3" s="2" t="inlineStr">
        <is>
          <t>36 months</t>
        </is>
      </c>
      <c r="AG3" s="2" t="inlineStr">
        <is>
          <t>2026-08-13</t>
        </is>
      </c>
      <c r="AH3" s="2" t="inlineStr">
        <is>
          <t>2029-08-13</t>
        </is>
      </c>
      <c r="AI3" s="2" t="inlineStr">
        <is>
          <t>Current - re-search on schedule</t>
        </is>
      </c>
    </row>
    <row r="4">
      <c r="A4" s="2" t="inlineStr">
        <is>
          <t>CORE-03</t>
        </is>
      </c>
      <c r="B4" s="2" t="inlineStr">
        <is>
          <t>Vansteenkiste, Williams &amp; Resnicow — SDT/MI integration</t>
        </is>
      </c>
      <c r="C4" s="7" t="inlineStr">
        <is>
          <t>https://selfdeterminationtheory.org/wp-content/uploads/2014/04/2012_VansteenkisteWilliamsResnicow_InterventionDevelopment_IJBNPA.pdf</t>
        </is>
      </c>
      <c r="D4" s="7" t="inlineStr">
        <is>
          <t>https://link.springer.com/article/10.1186/1479-5868-9-23</t>
        </is>
      </c>
      <c r="E4" s="6" t="inlineStr">
        <is>
          <t>Open PDF</t>
        </is>
      </c>
      <c r="F4" s="7" t="inlineStr">
        <is>
          <t>Located - readable source</t>
        </is>
      </c>
      <c r="G4" s="2" t="inlineStr">
        <is>
          <t>Priority B pass: open PDF located via SDT repository; Springer landing recorded.; CHARTED 2026-08-13 batch 3 (CORE completion spine; full role QC pass); LOCUS 2026-08-13: supporting weight (not load-bearing)</t>
        </is>
      </c>
      <c r="H4" s="2" t="inlineStr">
        <is>
          <t>Vansteenkiste, Williams &amp; Resnicow — SDT/MI integration pdf DOI readable source</t>
        </is>
      </c>
      <c r="I4" s="4" t="inlineStr">
        <is>
          <t>https://www.google.com/search?q=Vansteenkiste%2C+Williams+%26+Resnicow+%E2%80%94+SDT%2FMI+integration+pdf+DOI+readable+source</t>
        </is>
      </c>
      <c r="J4" s="7" t="inlineStr">
        <is>
          <t>2026-08-13</t>
        </is>
      </c>
      <c r="K4" s="7" t="inlineStr">
        <is>
          <t>Charted - 2026-08-13</t>
        </is>
      </c>
      <c r="L4" s="2" t="inlineStr">
        <is>
          <t>core</t>
        </is>
      </c>
      <c r="M4" s="2" t="inlineStr">
        <is>
          <t>WS-A</t>
        </is>
      </c>
      <c r="N4" s="2" t="inlineStr">
        <is>
          <t>B</t>
        </is>
      </c>
      <c r="O4" s="2" t="inlineStr">
        <is>
          <t>MECHANISM</t>
        </is>
      </c>
      <c r="P4" s="2" t="inlineStr">
        <is>
          <t>theoretical</t>
        </is>
      </c>
      <c r="Q4" s="2" t="inlineStr">
        <is>
          <t>motivation</t>
        </is>
      </c>
      <c r="R4" s="2" t="inlineStr">
        <is>
          <t>conceptual</t>
        </is>
      </c>
      <c r="S4" s="2" t="inlineStr">
        <is>
          <t>medium</t>
        </is>
      </c>
      <c r="T4" s="2" t="inlineStr">
        <is>
          <t>SDT (top-down, theory-driven) and MI (bottom-up, practice-driven) are complementary developmental pathways; systematic integration is possible and desirable. The integration hinge: MI researchers might want to embrace autonomy/volition as the fundamental basic process underlying therapeutic change (SDT-framed proposal - authored from the SDT side, not a neutral synthesis); autonomy-supportive communication is the practical grammar connecting the two.</t>
        </is>
      </c>
      <c r="U4" s="2" t="inlineStr">
        <is>
          <t>not_quantifiable - conceptual/theoretical integration paper (argues, does not measure; no data in source).</t>
        </is>
      </c>
      <c r="V4" s="2" t="inlineStr">
        <is>
          <t>The integration is a proposal, not a tested intervention; the proposal is SDT-framed advocacy (lead author is an SDT researcher; the hinge is asymmetric - MI is asked to embrace autonomy); SDT's universality claims vs MI's pragmatic roots remain a live tension (batch-1 fault line 5); no new data.</t>
        </is>
      </c>
      <c r="W4" s="2" t="inlineStr">
        <is>
          <t>If MI's efficacy were shown to operate through mechanisms other than autonomy/volition (e.g., alliance, expectancy), the integration hinge weakens; if SDT's autonomy construct does not map cleanly onto MI's spirit, the proposed synthesis is decorative.</t>
        </is>
      </c>
      <c r="X4" s="2" t="inlineStr">
        <is>
          <t>yes - autonomy support improves sustained motivation and behavior change; NOTE: asserted by this source's theory, demonstrated in sibling-row evidence (CORE-05 meta-analysis) - cross-row-supported, not source-demonstrated.</t>
        </is>
      </c>
      <c r="Y4" s="2" t="inlineStr">
        <is>
          <t>partial - volition as a vector (quality of motivation), not compliance-as-output.</t>
        </is>
      </c>
      <c r="Z4" s="2" t="inlineStr">
        <is>
          <t>The tool's register supports the person's own volitional process (choice, rationale, acknowledgment of resistance) - never a tool-owned motivational layer; volitional outcomes are the person's, not engagement metrics. M2 need-support profile stays a design heuristic, not a validated manipulation (batch-1 pilot rule). Telos remains the person's own (CORE-02 ruling carries).</t>
        </is>
      </c>
      <c r="AA4" s="2" t="inlineStr">
        <is>
          <t>Volition over compliance - the tool must never purchase behavior through compliance-shaped grammar; the person's own volitional process is the criterion (autonomy support is the means, not a lever), and coercion-by-nudge is a false integration (Tier-P application under A1-01/HUI-2024 criterion).</t>
        </is>
      </c>
      <c r="AB4" s="2" t="inlineStr">
        <is>
          <t>CF-3</t>
        </is>
      </c>
      <c r="AC4" s="2" t="inlineStr">
        <is>
          <t>Self-Nudging Design Card</t>
        </is>
      </c>
      <c r="AE4" s="2" t="inlineStr">
        <is>
          <t>Empirical / applied research</t>
        </is>
      </c>
      <c r="AF4" s="2" t="inlineStr">
        <is>
          <t>24 months</t>
        </is>
      </c>
      <c r="AG4" s="2" t="inlineStr">
        <is>
          <t>2026-08-13</t>
        </is>
      </c>
      <c r="AH4" s="2" t="inlineStr">
        <is>
          <t>2028-08-13</t>
        </is>
      </c>
      <c r="AI4" s="2" t="inlineStr">
        <is>
          <t>Current - re-search on schedule</t>
        </is>
      </c>
    </row>
    <row r="5">
      <c r="A5" s="2" t="inlineStr">
        <is>
          <t>CORE-04</t>
        </is>
      </c>
      <c r="B5" s="2" t="inlineStr">
        <is>
          <t>Bandura — Self-efficacy</t>
        </is>
      </c>
      <c r="C5" s="7" t="inlineStr">
        <is>
          <t>https://archive.org/details/selfefficacyexer0000band</t>
        </is>
      </c>
      <c r="D5" s="7" t="inlineStr">
        <is>
          <t>https://psycnet.apa.org/record/1997-08589-000</t>
        </is>
      </c>
      <c r="E5" s="6" t="inlineStr">
        <is>
          <t>Archive lending (1997 book, no open PDF) / companion 1994 chapter (open, albertbandura.com)</t>
        </is>
      </c>
      <c r="F5" s="7" t="inlineStr">
        <is>
          <t>Located - readable source (replacement verified 2026-08-13; lending)</t>
        </is>
      </c>
      <c r="G5" s="2" t="inlineStr">
        <is>
          <t>PDF located for Bandura self-efficacy book excerpt/chapter. Verify edition/page details during charting.; REPLACEMENT 2026-08-13: original uky.edu PDF redirects to motivation.uky.edu homepage (dead). Archive.org controlled-digital-lending item verified (HTTP 200). APA PsycBooks is the institutional path. No open copy found from container.; CHARTED 2026-08-13 batch 1 (motivational/cosmotechnic spine; full role QC pass); LOCUS 2026-08-13: supporting weight (not load-bearing); empirical anchor delegated per charting</t>
        </is>
      </c>
      <c r="H5" s="2" t="inlineStr">
        <is>
          <t>Bandura — Self-efficacy pdf DOI readable source</t>
        </is>
      </c>
      <c r="I5" s="4" t="inlineStr">
        <is>
          <t>https://www.google.com/search?q=Bandura+%E2%80%94+Self-efficacy+pdf+DOI+readable+source</t>
        </is>
      </c>
      <c r="J5" s="7" t="inlineStr">
        <is>
          <t>2026-08-13</t>
        </is>
      </c>
      <c r="K5" s="7" t="inlineStr">
        <is>
          <t>Charted - 2026-08-13</t>
        </is>
      </c>
      <c r="L5" s="2" t="inlineStr">
        <is>
          <t>core</t>
        </is>
      </c>
      <c r="M5" s="2" t="inlineStr">
        <is>
          <t>WS-A</t>
        </is>
      </c>
      <c r="N5" s="2" t="inlineStr">
        <is>
          <t>A</t>
        </is>
      </c>
      <c r="O5" s="2" t="inlineStr">
        <is>
          <t>MECHANISM</t>
        </is>
      </c>
      <c r="P5" s="2" t="inlineStr">
        <is>
          <t>theoretical</t>
        </is>
      </c>
      <c r="Q5" s="2" t="inlineStr">
        <is>
          <t>motivation</t>
        </is>
      </c>
      <c r="R5" s="2" t="inlineStr">
        <is>
          <t>conceptual</t>
        </is>
      </c>
      <c r="S5" s="2" t="inlineStr">
        <is>
          <t>medium</t>
        </is>
      </c>
      <c r="T5" s="2" t="inlineStr">
        <is>
          <t>Self-efficacy beliefs (domain-specific judgments of capability) are the most central mechanism of human agency; four principal sources - enactive mastery experience (strongest), vicarious experience, verbal/social persuasion, physiological/affective states; efficacy beliefs influence choice, effort, persistence, thought patterns, and emotional states; reciprocal determinism between efficacy and performance; efficacy is domain-specific, not a global trait. [CHARTED VIA 1994 COMPANION CHAPTER: row cites the 1997 book (archive-lending-only); charting text is Bandura 1994, 'Self-efficacy', Encyclopedia of Human Behavior 4:71-81 (open, albertbandura.com) - the author's own concise statement of the same theory. Claims about the 1997 book's unique content are not supported by the charted text.]</t>
        </is>
      </c>
      <c r="U5" s="2" t="inlineStr">
        <is>
          <t>not_quantifiable from charted source: the 1994 chapter contains no pooled ES (qualitative theoretical synthesis). Earlier draft's Stajkovic &amp; Luthans 1998 reference is an ANACHRONISM (postdates book and chapter) and is not marshaled by either source - removed.</t>
        </is>
      </c>
      <c r="V5" s="2" t="inlineStr">
        <is>
          <t>Self-report measurement dominates; causal direction is reciprocal (efficacy &lt;-&gt; performance), not unidirectional; domain-specificity limits global assessment; misjudged efficacy (overconfidence) can be harmful; chapter-level charting cannot speak to the 1997 book's evidence review (collective efficacy, self-regulation, applications); provenance caveat as above.</t>
        </is>
      </c>
      <c r="W5" s="2" t="inlineStr">
        <is>
          <t>If efficacy beliefs are largely epiphenomenal reflections of prior performance, the causal claim weakens; efficacy-performance correlations may reflect common method variance or ability confounds; interventions that raise efficacy without performance gains indicate boundary conditions; overconfidence cuts against 'more efficacy is better'.</t>
        </is>
      </c>
      <c r="X5" s="2" t="inlineStr">
        <is>
          <t>yes</t>
        </is>
      </c>
      <c r="Y5" s="2" t="inlineStr">
        <is>
          <t>partial</t>
        </is>
      </c>
      <c r="Z5" s="2" t="inlineStr">
        <is>
          <t>Build efficacy via early mastery, not exhortation (M2): graded success experiences, modeling, credible persuasive feedback, physiological-state interpretation; efficacy measure must be task-specific and causal direction must stay reciprocal (raise-efficacy = raise-performance unidirectionally is explicitly denied by the source).</t>
        </is>
      </c>
      <c r="AA5" s="2" t="inlineStr">
        <is>
          <t>Efficacy beliefs are the felt capacity for agency within a milieu; they enter the cosmotechnic frame only via the milieu-mediation argument (technical environments cultivate or corrode felt capacity), and 'good action' must mean action in accordance with the person's affirmed order of value - not moral capacity per se (Bandura's construct is capability judgment); Tier-P.</t>
        </is>
      </c>
      <c r="AC5" s="2" t="inlineStr">
        <is>
          <t>Motivation Crowding Watch Card</t>
        </is>
      </c>
      <c r="AE5" s="2" t="inlineStr">
        <is>
          <t>General supporting source</t>
        </is>
      </c>
      <c r="AF5" s="2" t="inlineStr">
        <is>
          <t>36 months</t>
        </is>
      </c>
      <c r="AG5" s="2" t="inlineStr">
        <is>
          <t>2026-08-13</t>
        </is>
      </c>
      <c r="AH5" s="2" t="inlineStr">
        <is>
          <t>2029-08-13</t>
        </is>
      </c>
      <c r="AI5" s="2" t="inlineStr">
        <is>
          <t>Current - re-search on schedule</t>
        </is>
      </c>
    </row>
    <row r="6">
      <c r="A6" s="2" t="inlineStr">
        <is>
          <t>CORE-05</t>
        </is>
      </c>
      <c r="B6" s="2" t="inlineStr">
        <is>
          <t>Deci, Koestner &amp; Ryan — extrinsic rewards meta-analysis</t>
        </is>
      </c>
      <c r="C6" s="4" t="inlineStr">
        <is>
          <t>https://selfdeterminationtheory.org/wp-content/uploads/2014/04/1999_DeciKoestnerRyan_Meta.pdf</t>
        </is>
      </c>
      <c r="D6" s="4" t="inlineStr">
        <is>
          <t>https://doi.org/10.1037/0033-2909.125.6.627</t>
        </is>
      </c>
      <c r="E6" s="2" t="inlineStr">
        <is>
          <t>Open PDF but scanned - read via OCR text</t>
        </is>
      </c>
      <c r="F6" s="2" t="inlineStr">
        <is>
          <t>Readable source found</t>
        </is>
      </c>
      <c r="G6" s="2" t="inlineStr">
        <is>
          <t>Search results report meta-analysis of 128 studies and DOI 10.1037/0033-2909.125.6.627.; CHARTED 2026-08-13 batch 1 (motivational/cosmotechnic spine; full role QC pass)</t>
        </is>
      </c>
      <c r="H6" s="2" t="inlineStr">
        <is>
          <t>Deci, Koestner &amp; Ryan — extrinsic rewards meta-analysis pdf DOI readable source</t>
        </is>
      </c>
      <c r="I6" s="4" t="inlineStr">
        <is>
          <t>https://www.google.com/search?q=Deci%2C+Koestner+%26+Ryan+%E2%80%94+extrinsic+rewards+meta-analysis+pdf+DOI+readable+source</t>
        </is>
      </c>
      <c r="J6" s="2" t="inlineStr">
        <is>
          <t>2026-08-13</t>
        </is>
      </c>
      <c r="K6" s="2" t="inlineStr">
        <is>
          <t>Charted - 2026-08-13</t>
        </is>
      </c>
      <c r="L6" s="2" t="inlineStr">
        <is>
          <t>core</t>
        </is>
      </c>
      <c r="M6" s="2" t="inlineStr">
        <is>
          <t>WS-I</t>
        </is>
      </c>
      <c r="N6" s="2" t="inlineStr">
        <is>
          <t>A</t>
        </is>
      </c>
      <c r="O6" s="2" t="inlineStr">
        <is>
          <t>WARNING</t>
        </is>
      </c>
      <c r="P6" s="2" t="inlineStr">
        <is>
          <t>review</t>
        </is>
      </c>
      <c r="Q6" s="2" t="inlineStr">
        <is>
          <t>motivation</t>
        </is>
      </c>
      <c r="R6" s="2" t="inlineStr">
        <is>
          <t>causal (lab-bounded: causality established for the free-choice lab paradigm, not for field/digital settings)</t>
        </is>
      </c>
      <c r="S6" s="2" t="inlineStr">
        <is>
          <t>high</t>
        </is>
      </c>
      <c r="T6" s="2" t="inlineStr">
        <is>
          <t>Meta-analysis of 128 studies: engagement-contingent (d = -0.40), completion-contingent (d = -0.36), and performance-contingent (d = -0.28) rewards significantly undermined free-choice intrinsic motivation; all rewards, all tangible rewards, and all expected rewards also undermined free-choice; engagement- and completion-contingent rewards undermined self-reported interest (d = -0.15, -0.17); positive feedback enhanced free-choice behavior (d = 0.33) and self-reported interest (d = 0.31); tangible rewards more detrimental for children than college students; verbal rewards less enhancing for children.</t>
        </is>
      </c>
      <c r="U6" s="2" t="inlineStr">
        <is>
          <t>Supported: all six d-values match the abstract verbatim. Free-choice: d = -0.40 (engagement-contingent), -0.36 (completion-contingent), -0.28 (performance-contingent); self-reported interest: d = -0.15, -0.17; positive feedback: d = +0.33 (free-choice), +0.31 (self-report). Characterized as small-to-medium negative effects; headline pooled estimates - analysis-variant (weighted/unweighted, fixed/random) sensitivity should be checked before any single number is published; estimates contested (Cameron &amp; Pierce 1994; Eisenberger &amp; Cameron 1996).</t>
        </is>
      </c>
      <c r="V6" s="2" t="inlineStr">
        <is>
          <t>Meta-analytic heterogeneity; lab free-choice persistence paradigm (observed post-session behavior) - not field/digital engagement; free-choice vs self-report measures capture different outcomes; task-type, reward-type, expectation, and age moderators; mostly Western/educational samples; single-subject studies without no-reward controls excluded (appendix); dissertations partially excluded; sensitivity (weighted vs unweighted, fixed vs random) and publication-bias discussion absent; the paper explicitly reviews 4 previous meta-analyses with divergent results, so estimates are contested; construct validity of the free-choice DV is itself part of the controversy.</t>
        </is>
      </c>
      <c r="W6" s="2" t="inlineStr">
        <is>
          <t>Undermining applies to activities with initial intrinsic interest (CET boundary); unexpected vs expected rewards differ (expectation matters); if field settings show weaker crowding than lab free-choice measures, external validity is limited; divergent prior meta-analyses mean the true effect size is debated; rewards for uninteresting tasks do not undermine.</t>
        </is>
      </c>
      <c r="X6" s="2" t="inlineStr">
        <is>
          <t>yes</t>
        </is>
      </c>
      <c r="Y6" s="2" t="inlineStr">
        <is>
          <t>yes</t>
        </is>
      </c>
      <c r="Z6" s="2" t="inlineStr">
        <is>
          <t>Sets c_C (crowding coefficient) in the model - Motivation Crowding Watch Card: c_C must be imported as a DIRECTION + bounded band (|d| approx 0.15-0.40), never a point estimate; the pilot must re-estimate its own c_C with a baseline/no-reward contrast (lab free-choice persistence is NOT product engagement - define the pilot DV explicitly); code reward expectation (expected vs unexpected) and task-interest boundary conditions; avoid contingent tangible rewards for intrinsically motivated activity; prefer autonomy-supportive feedback.</t>
        </is>
      </c>
      <c r="AA6" s="2" t="inlineStr">
        <is>
          <t>Contingent reward is a technics that re-orders the person's relation to the act. Where it converts authorship into compliance it instantiates a rupture of the cosmos-ethic-technics unity - a cosmotechnic failure only under the stated criterion (a technical intervention eroding the moral order the person affirms), Tier-P; the meta-analytic data alone do not license the verdict; boundary conditions (initial intrinsic interest, expectation, task type) apply.</t>
        </is>
      </c>
      <c r="AB6" s="2" t="inlineStr">
        <is>
          <t>CF-1/CF-3</t>
        </is>
      </c>
      <c r="AC6" s="2" t="inlineStr">
        <is>
          <t>Motivation Crowding Watch Card</t>
        </is>
      </c>
      <c r="AD6" s="2" t="inlineStr">
        <is>
          <t>OC-2</t>
        </is>
      </c>
      <c r="AE6" s="2" t="inlineStr">
        <is>
          <t>Empirical / applied research</t>
        </is>
      </c>
      <c r="AF6" s="2" t="inlineStr">
        <is>
          <t>24 months</t>
        </is>
      </c>
      <c r="AG6" s="2" t="inlineStr">
        <is>
          <t>2026-08-13</t>
        </is>
      </c>
      <c r="AH6" s="2" t="inlineStr">
        <is>
          <t>2028-08-13</t>
        </is>
      </c>
      <c r="AI6" s="2" t="inlineStr">
        <is>
          <t>Current - re-search on schedule</t>
        </is>
      </c>
    </row>
    <row r="7">
      <c r="A7" s="2" t="inlineStr">
        <is>
          <t>CORE-06</t>
        </is>
      </c>
      <c r="B7" s="2" t="inlineStr">
        <is>
          <t>Frey &amp; Jegen — motivation crowding theory</t>
        </is>
      </c>
      <c r="C7" s="7" t="inlineStr">
        <is>
          <t>https://www.bsfrey.ch/wp-content/uploads/2021/08/motivation-crowding-theory.pdf</t>
        </is>
      </c>
      <c r="D7" s="7" t="inlineStr">
        <is>
          <t>https://doi.org/10.1111/1467-6419.00150</t>
        </is>
      </c>
      <c r="E7" s="6" t="inlineStr">
        <is>
          <t>Author-site PDF - broken direct text layer, readable only via OCR; DOI landing = 10.1111/1467-6419.00150 (publisher copy paywalled)</t>
        </is>
      </c>
      <c r="F7" s="7" t="inlineStr">
        <is>
          <t>Located - readable source (replacement verified 2026-08-13)</t>
        </is>
      </c>
      <c r="G7" s="2" t="inlineStr">
        <is>
          <t>Readable author PDF located for motivation crowding theory.; REPLACEMENT 2026-08-13: old URL redirected to publications listing (not the paper). Correct DOI is 10.1111/1467-6419.00150; matrix DOI 10.1023/A:1017564312479 is dead. Replacement PDF text-layer verified (23p).; CHARTED 2026-08-13 batch 1 (motivational/cosmotechnic spine; full role QC pass); LOCUS 2026-08-13: supporting weight (not load-bearing); empirical anchor delegated per charting</t>
        </is>
      </c>
      <c r="H7" s="2" t="inlineStr">
        <is>
          <t>Frey &amp; Jegen — motivation crowding theory pdf DOI readable source</t>
        </is>
      </c>
      <c r="I7" s="4" t="inlineStr">
        <is>
          <t>https://www.google.com/search?q=Frey+%26+Jegen+%E2%80%94+motivation+crowding+theory+pdf+DOI+readable+source</t>
        </is>
      </c>
      <c r="J7" s="7" t="inlineStr">
        <is>
          <t>2026-08-13</t>
        </is>
      </c>
      <c r="K7" s="7" t="inlineStr">
        <is>
          <t>Charted - 2026-08-13</t>
        </is>
      </c>
      <c r="L7" s="2" t="inlineStr">
        <is>
          <t>core</t>
        </is>
      </c>
      <c r="M7" s="2" t="inlineStr">
        <is>
          <t>WS-I</t>
        </is>
      </c>
      <c r="N7" s="2" t="inlineStr">
        <is>
          <t>A</t>
        </is>
      </c>
      <c r="O7" s="2" t="inlineStr">
        <is>
          <t>WARNING</t>
        </is>
      </c>
      <c r="P7" s="2" t="inlineStr">
        <is>
          <t>review</t>
        </is>
      </c>
      <c r="Q7" s="2" t="inlineStr">
        <is>
          <t>economics/psych</t>
        </is>
      </c>
      <c r="R7" s="2" t="inlineStr">
        <is>
          <t>correlational (narrative review; cited lab experiments are causal, the synthesis is not)</t>
        </is>
      </c>
      <c r="S7" s="2" t="inlineStr">
        <is>
          <t>high</t>
        </is>
      </c>
      <c r="T7" s="2" t="inlineStr">
        <is>
          <t>External interventions via monetary incentives or punishments may undermine ('crowd out') intrinsic motivation, and under identifiable conditions strengthen ('crowd in') it; crowding is contingent on whether the intervention is perceived as controlling vs acknowledging; the paper argues empirical relevance via circumstantial evidence, laboratory studies, and field/econometric cases (e.g., blood donation, Gneezy &amp; Rustichini fine experiments), claiming crowding 'can, in specific cases, even dominate the traditional relative price effect'.</t>
        </is>
      </c>
      <c r="U7" s="2" t="inlineStr">
        <is>
          <t>not_quantifiable: narrative review with no pooled ES; direction-only evidence from selected cases; cannot supply c_C magnitude.</t>
        </is>
      </c>
      <c r="V7" s="2" t="inlineStr">
        <is>
          <t>Narrative, non-systematic review (no search protocol, no pooling); 'circumstantial evidence' is the authors' own characterization; heterogeneous studies across countries/periods; senior author is the theory's originator (self-citation circularity: framework cited to Frey 1997a) - advocacy consideration; the paper itself concedes the strongest skeptic position (Prendergast 1999: 'little conclusive empirical evidence, particularly in workplace settings'); flagship cases (blood donation) contested in later literature; crowd-in conditions less studied.</t>
        </is>
      </c>
      <c r="W7" s="2" t="inlineStr">
        <is>
          <t>If extrinsic incentives do not reliably undermine intrinsic motivation outside the lab (cf. CORE-05/Cameron-Pierce divergence), crowding-out may be context-limited; standard economic predictions (incentives work) hold in many markets - crowding needs identifiable conditions; if perceived-control is the operative variable, the phenomenon may be a mediation effect rather than a distinct crowding process; the review shares much of the same underlying psychological literature as CORE-05, so it is NOT independent confirmation (double-counting risk).</t>
        </is>
      </c>
      <c r="X7" s="2" t="inlineStr">
        <is>
          <t>yes</t>
        </is>
      </c>
      <c r="Y7" s="2" t="inlineStr">
        <is>
          <t>yes</t>
        </is>
      </c>
      <c r="Z7" s="2" t="inlineStr">
        <is>
          <t>Cross-disciplinary CORROBORATION of crowding risk (not confirmation - narrative review) - Motivation Crowding Watch Card; treat incentive addition as a morally and motivationally consequential act; code crowd-IN conditions (acknowledging/non-controlling interventions) in the pilot to avoid confirmation bias toward crowding-out; monitor for crowding-out signals with a no-reward baseline.</t>
        </is>
      </c>
      <c r="AA7" s="2" t="inlineStr">
        <is>
          <t>Incentive design is morally consequential: economic instruments are technics (HUI-2024: the political-technical are not separate spheres); a payment that converts a freely affirmed act into a priced one re-orders the person's relation to the act. 'Motivational order' (the person's micro-order of value and relation to activity) is the operative term - not a decorative 'cosmos'.</t>
        </is>
      </c>
      <c r="AB7" s="2" t="inlineStr">
        <is>
          <t>CF-1/CF-3</t>
        </is>
      </c>
      <c r="AC7" s="2" t="inlineStr">
        <is>
          <t>Motivation Crowding Watch Card</t>
        </is>
      </c>
      <c r="AD7" s="2" t="inlineStr">
        <is>
          <t>OC-2</t>
        </is>
      </c>
      <c r="AE7" s="2" t="inlineStr">
        <is>
          <t>Empirical / applied research</t>
        </is>
      </c>
      <c r="AF7" s="2" t="inlineStr">
        <is>
          <t>24 months</t>
        </is>
      </c>
      <c r="AG7" s="2" t="inlineStr">
        <is>
          <t>2026-08-13</t>
        </is>
      </c>
      <c r="AH7" s="2" t="inlineStr">
        <is>
          <t>2028-08-13</t>
        </is>
      </c>
      <c r="AI7" s="2" t="inlineStr">
        <is>
          <t>Current - re-search on schedule</t>
        </is>
      </c>
    </row>
    <row r="8">
      <c r="A8" s="2" t="inlineStr">
        <is>
          <t>CORE-07</t>
        </is>
      </c>
      <c r="B8" s="2" t="inlineStr">
        <is>
          <t>Lepper, Greene &amp; Nisbett — over-justification</t>
        </is>
      </c>
      <c r="C8" s="7" t="inlineStr">
        <is>
          <t>https://files.eric.ed.gov/fulltext/ED084210.pdf</t>
        </is>
      </c>
      <c r="D8" s="7" t="inlineStr">
        <is>
          <t>https://www.semanticscholar.org/paper/abbcacaa273b8fea38d142e795e968051fa368ea</t>
        </is>
      </c>
      <c r="E8" s="6" t="inlineStr">
        <is>
          <t>Open PDF (ERIC final-report version) / Semantic Scholar record</t>
        </is>
      </c>
      <c r="F8" s="7" t="inlineStr">
        <is>
          <t>Located - readable source (replacement verified 2026-08-13)</t>
        </is>
      </c>
      <c r="G8" s="2" t="inlineStr">
        <is>
          <t>Readable SDT archive PDF for classic overjustification paper.; REPLACEMENT 2026-08-13: JPSP article itself is paywalled; ERIC ED084210 is the NIMH/Office-of-Education final-report version of the same overjustification study (Lepper, Greene &amp; Nisbett; overjustification + Nisbett verified in text). Text-layer verified (32p). JPSP version remains the canonical citation.</t>
        </is>
      </c>
      <c r="H8" s="2" t="inlineStr">
        <is>
          <t>Lepper, Greene &amp; Nisbett — over-justification pdf DOI readable source</t>
        </is>
      </c>
      <c r="I8" s="4" t="inlineStr">
        <is>
          <t>https://www.google.com/search?q=Lepper%2C+Greene+%26+Nisbett+%E2%80%94+over-justification+pdf+DOI+readable+source</t>
        </is>
      </c>
      <c r="J8" s="7" t="inlineStr">
        <is>
          <t>2026-08-13</t>
        </is>
      </c>
      <c r="K8" s="7" t="inlineStr">
        <is>
          <t>Located (not charted)</t>
        </is>
      </c>
      <c r="L8" s="2" t="inlineStr">
        <is>
          <t>core</t>
        </is>
      </c>
      <c r="M8" s="2" t="inlineStr">
        <is>
          <t>WS-I</t>
        </is>
      </c>
      <c r="N8" s="2" t="inlineStr">
        <is>
          <t>A</t>
        </is>
      </c>
      <c r="O8" s="2" t="inlineStr">
        <is>
          <t>WARNING</t>
        </is>
      </c>
      <c r="P8" s="2" t="inlineStr">
        <is>
          <t>empirical</t>
        </is>
      </c>
      <c r="Q8" s="2" t="inlineStr">
        <is>
          <t>psychology</t>
        </is>
      </c>
      <c r="R8" s="2" t="inlineStr">
        <is>
          <t>causal</t>
        </is>
      </c>
      <c r="S8" s="2" t="inlineStr">
        <is>
          <t>high</t>
        </is>
      </c>
      <c r="T8" s="2" t="inlineStr">
        <is>
          <t>Expected reward for intrinsically interesting activity reduces later interest.</t>
        </is>
      </c>
      <c r="U8" s="2" t="inlineStr">
        <is>
          <t>[to chart]</t>
        </is>
      </c>
      <c r="V8" s="2" t="inlineStr">
        <is>
          <t>[to chart]</t>
        </is>
      </c>
      <c r="W8" s="2" t="inlineStr">
        <is>
          <t>[to chart]</t>
        </is>
      </c>
      <c r="X8" s="2" t="inlineStr">
        <is>
          <t>yes</t>
        </is>
      </c>
      <c r="Y8" s="2" t="inlineStr">
        <is>
          <t>partial</t>
        </is>
      </c>
      <c r="Z8" s="2" t="inlineStr">
        <is>
          <t>Original demonstration; anchors the tip-over intuition.</t>
        </is>
      </c>
      <c r="AA8" s="2" t="inlineStr">
        <is>
          <t>Reward can hollow meaning.</t>
        </is>
      </c>
      <c r="AB8" s="2" t="inlineStr">
        <is>
          <t>CF-3</t>
        </is>
      </c>
      <c r="AC8" s="2" t="inlineStr">
        <is>
          <t>Motivation Crowding Watch Card</t>
        </is>
      </c>
      <c r="AE8" s="2" t="inlineStr">
        <is>
          <t>Empirical / applied research</t>
        </is>
      </c>
      <c r="AF8" s="2" t="inlineStr">
        <is>
          <t>24 months</t>
        </is>
      </c>
      <c r="AG8" s="2" t="inlineStr">
        <is>
          <t>2026-08-13</t>
        </is>
      </c>
      <c r="AH8" s="2" t="inlineStr">
        <is>
          <t>2028-08-13</t>
        </is>
      </c>
      <c r="AI8" s="2" t="inlineStr">
        <is>
          <t>Current - re-search on schedule</t>
        </is>
      </c>
    </row>
    <row r="9">
      <c r="A9" s="2" t="inlineStr">
        <is>
          <t>CORE-08</t>
        </is>
      </c>
      <c r="B9" s="2" t="inlineStr">
        <is>
          <t>Reijula &amp; Hertwig — self-nudging &amp; citizen choice architect</t>
        </is>
      </c>
      <c r="C9" s="4" t="inlineStr">
        <is>
          <t>https://nudging-for-sdgs.eu/wp-content/uploads/2023/12/Self-nudging-and-the-citizen-choice-architect.pdf</t>
        </is>
      </c>
      <c r="D9" s="4" t="inlineStr">
        <is>
          <t>https://researchportal.helsinki.fi/en/publications/self-nudging-and-the-citizen-choice-architect</t>
        </is>
      </c>
      <c r="E9" s="2" t="inlineStr">
        <is>
          <t>Open PDF = accepted manuscript (not typeset); cite Behavioural Public Policy 6(4) 2022</t>
        </is>
      </c>
      <c r="F9" s="2" t="inlineStr">
        <is>
          <t>Readable source found</t>
        </is>
      </c>
      <c r="G9" s="2" t="inlineStr">
        <is>
          <t>Search results identify DOI 10.1017/bpp.2020.5 and OSF DOI 10.31235/osf.io/24dwn.; CHARTED 2026-08-13 batch 1 (motivational/cosmotechnic spine; full role QC pass)</t>
        </is>
      </c>
      <c r="H9" s="2" t="inlineStr">
        <is>
          <t>Reijula &amp; Hertwig — self-nudging &amp; citizen choice architect pdf DOI readable source</t>
        </is>
      </c>
      <c r="I9" s="4" t="inlineStr">
        <is>
          <t>https://www.google.com/search?q=Reijula+%26+Hertwig+%E2%80%94+self-nudging+%26+citizen+choice+architect+pdf+DOI+readable+source</t>
        </is>
      </c>
      <c r="J9" s="2" t="inlineStr">
        <is>
          <t>2026-08-13</t>
        </is>
      </c>
      <c r="K9" s="2" t="inlineStr">
        <is>
          <t>Charted - 2026-08-13</t>
        </is>
      </c>
      <c r="L9" s="2" t="inlineStr">
        <is>
          <t>core</t>
        </is>
      </c>
      <c r="M9" s="2" t="inlineStr">
        <is>
          <t>WS-D</t>
        </is>
      </c>
      <c r="N9" s="2" t="inlineStr">
        <is>
          <t>A</t>
        </is>
      </c>
      <c r="O9" s="2" t="inlineStr">
        <is>
          <t>DESIGN/MECHANISM</t>
        </is>
      </c>
      <c r="P9" s="2" t="inlineStr">
        <is>
          <t>theoretical</t>
        </is>
      </c>
      <c r="Q9" s="2" t="inlineStr">
        <is>
          <t>behavioral policy</t>
        </is>
      </c>
      <c r="R9" s="2" t="inlineStr">
        <is>
          <t>conceptual</t>
        </is>
      </c>
      <c r="S9" s="2" t="inlineStr">
        <is>
          <t>high</t>
        </is>
      </c>
      <c r="T9" s="2" t="inlineStr">
        <is>
          <t>Nudges can often be turned into self-nudges: empowering interventions that enable people to design and structure their own decision environments - to act as citizen choice architects; self-nudging applies behavioral insights without paternalism/manipulation concerns (by construction in the article); expands behavioral insights from the public to the personal sphere; tools include designing one's proximate choice architecture (defaults, repositioning, notifications, friction), education about self-control problems, and self-paternalistic interventions (hard constraints on oneself that do not curb others' liberty); online environments' manipulative properties can be harnessed for self-control.</t>
        </is>
      </c>
      <c r="U9" s="2" t="inlineStr">
        <is>
          <t>not_quantifiable: qualitative/theoretical with illustrative case studies (organic food-box scheme, browser defaults, greyscale, ad blockers); the paper itself disclaims its examples ('illustrations rather than evidence-based policy interventions, as they have not been subjected to empirical testing').</t>
        </is>
      </c>
      <c r="V9" s="2" t="inlineStr">
        <is>
          <t>Examples explicitly untested (source's own disclaimer); 'autonomy enhancement' is definitional/normative, not empirically demonstrated (no experiment compares self-nudging vs nudging on autonomy or adherence); self-nudging presupposes self-knowledge, behavioral/digital literacy, and environment malleability (equity risk for low-literacy/low-malleability users); voluntary self-control strategies show low adherence/mixed results (e.g., Dansinger et al. 2005 cited in-article); boundary between self-nudge and self-paternalism ethically underexplored; not sufficient for deep addiction/compulsion.</t>
        </is>
      </c>
      <c r="W9" s="2" t="inlineStr">
        <is>
          <t>If people systematically fail to anticipate their own future behavior (meta-level present bias), self-nudges will be under-deployed or mis-designed; if environments are not malleable, self-nudging is unavailable; self-nudging could entrench an individual-responsibility narrative that shifts blame from harmful environments to individuals (moral-hollowing risk); strong habits resist choice-architecture fixes.</t>
        </is>
      </c>
      <c r="X9" s="2" t="inlineStr">
        <is>
          <t>yes</t>
        </is>
      </c>
      <c r="Y9" s="2" t="inlineStr">
        <is>
          <t>yes</t>
        </is>
      </c>
      <c r="Z9" s="2" t="inlineStr">
        <is>
          <t>Central mechanism for authorship (lambda; M4d) - Self-Nudging Design Card: enable the user to redesign their own choice architecture (defaults, notification regimes, friction, positioning) rather than only being nudged. lambda must be structural/presence-based (did the user author or redesign their own choice architecture? 0/1 or ordinal), NOT a calibrated scalar - the source provides no quantitative basis; pilot uses SCED logic (baseline -&gt; self-nudge phase -&gt; follow-up) with descriptive reporting; measure enactment and acceptance, not just engagement.</t>
        </is>
      </c>
      <c r="AA9" s="2" t="inlineStr">
        <is>
          <t>Self-authorship is a vehicle for autonomy but not sufficient: the user's proximate choice architecture is a technical milieu the user must be able to revise (locality, S10) rather than an imposed identity (localism). 'Not sufficient' is retained as a structural guard against the individual-responsibility collapse and to keep authorship phenomenological rather than a self-management score.</t>
        </is>
      </c>
      <c r="AB9" s="2" t="inlineStr">
        <is>
          <t>CF-3</t>
        </is>
      </c>
      <c r="AC9" s="2" t="inlineStr">
        <is>
          <t>Self-Nudging Design Card</t>
        </is>
      </c>
      <c r="AD9" s="2" t="inlineStr">
        <is>
          <t>OC-6</t>
        </is>
      </c>
      <c r="AE9" s="2" t="inlineStr">
        <is>
          <t>General supporting source</t>
        </is>
      </c>
      <c r="AF9" s="2" t="inlineStr">
        <is>
          <t>36 months</t>
        </is>
      </c>
      <c r="AG9" s="2" t="inlineStr">
        <is>
          <t>2026-08-13</t>
        </is>
      </c>
      <c r="AH9" s="2" t="inlineStr">
        <is>
          <t>2029-08-13</t>
        </is>
      </c>
      <c r="AI9" s="2" t="inlineStr">
        <is>
          <t>Current - re-search on schedule</t>
        </is>
      </c>
    </row>
    <row r="10">
      <c r="A10" s="2" t="inlineStr">
        <is>
          <t>CORE-09</t>
        </is>
      </c>
      <c r="B10" s="2" t="inlineStr">
        <is>
          <t>Carver &amp; Scheier — self-regulation / control theory</t>
        </is>
      </c>
      <c r="C10" s="7" t="inlineStr">
        <is>
          <t>https://erlanbakiev.weebly.com/uploads/1/0/8/3/10833829/controltheory.pdf</t>
        </is>
      </c>
      <c r="D10" s="7" t="inlineStr">
        <is>
          <t>https://pubmed.ncbi.nlm.nih.gov/7134324/</t>
        </is>
      </c>
      <c r="E10" s="6" t="inlineStr">
        <is>
          <t>Open PDF (course-hosted copy) / PubMed record</t>
        </is>
      </c>
      <c r="F10" s="7" t="inlineStr">
        <is>
          <t>Located - readable source (replacement verified 2026-08-13)</t>
        </is>
      </c>
      <c r="G10" s="2" t="inlineStr">
        <is>
          <t>Readable PDF of feedback/self-regulation control theory located.; REPLACEMENT 2026-08-13: original link 404. Verified PDF (26p, text OK) is a course-hosted copy of Carver &amp; Scheier 1982 Psychological Bulletin 92(1):111-135; check pagination against the published article during charting.; CHARTED 2026-08-13 batch 2 (workday-protocol spine; full role QC pass); Course-hosted mirror (weebly) of author-uploaded scan; use published pagination 111-135 (PubMed/Crossref) during charting.; LOCUS 2026-08-13: supporting weight (not load-bearing)</t>
        </is>
      </c>
      <c r="H10" s="2" t="inlineStr">
        <is>
          <t>Carver &amp; Scheier — self-regulation / control theory pdf DOI readable source</t>
        </is>
      </c>
      <c r="I10" s="4" t="inlineStr">
        <is>
          <t>https://www.google.com/search?q=Carver+%26+Scheier+%E2%80%94+self-regulation+%2F+control+theory+pdf+DOI+readable+source</t>
        </is>
      </c>
      <c r="J10" s="7" t="inlineStr">
        <is>
          <t>2026-08-13</t>
        </is>
      </c>
      <c r="K10" s="7" t="inlineStr">
        <is>
          <t>Charted - 2026-08-13</t>
        </is>
      </c>
      <c r="L10" s="2" t="inlineStr">
        <is>
          <t>core</t>
        </is>
      </c>
      <c r="M10" s="2" t="inlineStr">
        <is>
          <t>WS-G</t>
        </is>
      </c>
      <c r="N10" s="2" t="inlineStr">
        <is>
          <t>A</t>
        </is>
      </c>
      <c r="O10" s="2" t="inlineStr">
        <is>
          <t>MECHANISM</t>
        </is>
      </c>
      <c r="P10" s="2" t="inlineStr">
        <is>
          <t>theoretical</t>
        </is>
      </c>
      <c r="Q10" s="2" t="inlineStr">
        <is>
          <t>psychology</t>
        </is>
      </c>
      <c r="R10" s="2" t="inlineStr">
        <is>
          <t>conceptual</t>
        </is>
      </c>
      <c r="S10" s="2" t="inlineStr">
        <is>
          <t>medium</t>
        </is>
      </c>
      <c r="T10" s="2" t="inlineStr">
        <is>
          <t>Self-regulation operates through cybernetic feedback control: behavior is regulated by comparing the current state against reference standards, and the FELT discrepancy - the inner experience of not being where one should be - motivates corrective action (negative feedback loops); control operates across a hierarchy of levels (motor programs to behavioral systems to self); self-awareness engages the self-referential level, intensifying discrepancy monitoring; where discrepancy reduction is impeded, withdrawal/disengagement from the behavioral stream may follow; the framework's integrative potential for personality, social, clinical, and health psychology is SUGGESTED, not demonstrated.</t>
        </is>
      </c>
      <c r="U10" s="2" t="inlineStr">
        <is>
          <t>not_quantifiable (theoretical framework article; no pooled ES)</t>
        </is>
      </c>
      <c r="V10" s="2" t="inlineStr">
        <is>
          <t>Conceptual synthesis; cybernetic metaphor carries information-processing assumptions; predictions require specifying reference values and loop parameters; not empirically tested as a whole in this article; the felt discrepancy-experience is the referent the loop models - the mechanism must not be mistaken for the phenomenon; later Carver &amp; Scheier revisions add approach/positive-feedback dynamics beyond pure discrepancy reduction.</t>
        </is>
      </c>
      <c r="W10" s="2" t="inlineStr">
        <is>
          <t>Standards-based self-monitoring is the grammar of self-regulation: support reference-setting (goal standards), discrepancy feedback, and resumption of corrective action; design for the hierarchy (task-level loops within self-level standards); the felt experience of self-monitoring precedes the loop mechanics - capture it first.</t>
        </is>
      </c>
      <c r="X10" s="2" t="inlineStr">
        <is>
          <t>yes</t>
        </is>
      </c>
      <c r="Y10" s="2" t="inlineStr">
        <is>
          <t>partial</t>
        </is>
      </c>
      <c r="Z10" s="2" t="inlineStr">
        <is>
          <t>Arousal/Flow/Task-Switching Layer: self-regulation as governed return - the feedback loop is the person's own grammar of return to their affirmed order; the tool should support the person's standards, not substitute its own.</t>
        </is>
      </c>
      <c r="AA10" s="2" t="inlineStr">
        <is>
          <t>Self-regulation as governed return: the loop models the felt discrepancy-experience - the tool must keep the person's own standards as the reference (S1 guard) and support the felt return, not merely the correction; the cybernetic frame itself must not be operationalized as a steerable-system design - HUI-2024 (with Heidegger) identifies cybernetics with the completion of the manipulation paradigm (steuerbare Einrichtung), so a loop-based tool that treats the person as the plant is precisely the capture the cosmotechnic reading must refuse (medium Cosmo Rel.).</t>
        </is>
      </c>
      <c r="AC10" s="2" t="inlineStr">
        <is>
          <t>Arousal/Flow/Task-Switching Layer</t>
        </is>
      </c>
      <c r="AD10" s="2" t="inlineStr">
        <is>
          <t>OC-4</t>
        </is>
      </c>
      <c r="AE10" s="2" t="inlineStr">
        <is>
          <t>Empirical / applied research</t>
        </is>
      </c>
      <c r="AF10" s="2" t="inlineStr">
        <is>
          <t>24 months</t>
        </is>
      </c>
      <c r="AG10" s="2" t="inlineStr">
        <is>
          <t>2026-08-13</t>
        </is>
      </c>
      <c r="AH10" s="2" t="inlineStr">
        <is>
          <t>2028-08-13</t>
        </is>
      </c>
      <c r="AI10" s="2" t="inlineStr">
        <is>
          <t>Current - re-search on schedule</t>
        </is>
      </c>
    </row>
    <row r="11">
      <c r="A11" s="2" t="inlineStr">
        <is>
          <t>CORE-10</t>
        </is>
      </c>
      <c r="B11" s="2" t="inlineStr">
        <is>
          <t>Locke &amp; Latham — goal-setting theory</t>
        </is>
      </c>
      <c r="C11" s="7" t="inlineStr">
        <is>
          <t>https://home.ubalt.edu/tmitch/642/Articles%20syllabus/locke%20pract%20goal%20setting%202002%20am%20psy.pdf</t>
        </is>
      </c>
      <c r="D11" s="7" t="inlineStr">
        <is>
          <t>https://pubmed.ncbi.nlm.nih.gov/12237980/</t>
        </is>
      </c>
      <c r="E11" s="6" t="inlineStr">
        <is>
          <t>Open PDF (course-hosted copy) / PubMed record</t>
        </is>
      </c>
      <c r="F11" s="7" t="inlineStr">
        <is>
          <t>Located - readable source (replacement verified 2026-08-13)</t>
        </is>
      </c>
      <c r="G11" s="2" t="inlineStr">
        <is>
          <t>Readable PDF for Locke &amp; Latham goal-setting theory article located.; REPLACEMENT 2026-08-13: original link 404. Verified PDF (13p, text OK) of Locke &amp; Latham 2002 American Psychologist 57(9):705-717.; CHARTED 2026-08-13 batch 2 (workday-protocol spine; full role QC pass); Course-hosted mirror (ubalt.edu); matches published American Psychologist 57(9):705-717 text.; LOCUS 2026-08-13: supporting weight (not load-bearing)</t>
        </is>
      </c>
      <c r="H11" s="2" t="inlineStr">
        <is>
          <t>Locke &amp; Latham — goal-setting theory pdf DOI readable source</t>
        </is>
      </c>
      <c r="I11" s="4" t="inlineStr">
        <is>
          <t>https://www.google.com/search?q=Locke+%26+Latham+%E2%80%94+goal-setting+theory+pdf+DOI+readable+source</t>
        </is>
      </c>
      <c r="J11" s="7" t="inlineStr">
        <is>
          <t>2026-08-13</t>
        </is>
      </c>
      <c r="K11" s="7" t="inlineStr">
        <is>
          <t>Charted - 2026-08-13</t>
        </is>
      </c>
      <c r="L11" s="2" t="inlineStr">
        <is>
          <t>core</t>
        </is>
      </c>
      <c r="M11" s="2" t="inlineStr">
        <is>
          <t>WS-G</t>
        </is>
      </c>
      <c r="N11" s="2" t="inlineStr">
        <is>
          <t>A</t>
        </is>
      </c>
      <c r="O11" s="2" t="inlineStr">
        <is>
          <t>MECHANISM</t>
        </is>
      </c>
      <c r="P11" s="2" t="inlineStr">
        <is>
          <t>narrative review (non-systematic; originator-authored)</t>
        </is>
      </c>
      <c r="Q11" s="2" t="inlineStr">
        <is>
          <t>org psych</t>
        </is>
      </c>
      <c r="R11" s="2" t="inlineStr">
        <is>
          <t>causal (experimental program, per originator review - goal difficulty manipulated in cited lab/field experiments; not independent confirmation)</t>
        </is>
      </c>
      <c r="S11" s="2" t="inlineStr">
        <is>
          <t>medium</t>
        </is>
      </c>
      <c r="T11" s="2" t="inlineStr">
        <is>
          <t>Originator-authored 35-year review of goal-setting research: specific and difficult goals lead to higher performance than easy or vague ('do your best') goals, given goal commitment, feedback, and task-appropriate strategy; goals operate through four mechanisms (direction of attention, effort, persistence, strategy development); moderators include goal commitment (a felt state), feedback, and task complexity; goals mediate the effects of incentives; the relation of goals and SATISFACTION (the felt/affective consequence of goal attainment) is among the reviewed contents; external validity and practical significance are emphasized.</t>
        </is>
      </c>
      <c r="U11" s="2" t="inlineStr">
        <is>
          <t>not_quantifiable from charted source (narrative review; no pooled ES in this article; do NOT import external meta-analytic values - batch convention)</t>
        </is>
      </c>
      <c r="V11" s="2" t="inlineStr">
        <is>
          <t>Originator-authored narrative review (Locke &amp; Latham reviewing their own theory) - advocacy-adjacent, NOT independent confirmation; no search protocol, no pooling; goal effects strongest for simple tasks (complex/creative tasks invert: learning goals outperform performance goals); assumes conscious, rational goal pursuit; publication-bias/file-drawer not addressed; negative goal effects flagged only via an external row (CORE-11), not the source.</t>
        </is>
      </c>
      <c r="W11" s="2" t="inlineStr">
        <is>
          <t>Goal effects are conditional on commitment and feedback - without them, difficult goals can backfire; if goals narrow attention excessively in complex or creative work, performance and quality suffer (goal-performance relation inverts); externally imposed goals interact with incentives (cf. CORE-05/CORE-06 crowding: imposed goals may crowd internal commitment).</t>
        </is>
      </c>
      <c r="X11" s="2" t="inlineStr">
        <is>
          <t>yes</t>
        </is>
      </c>
      <c r="Y11" s="2" t="inlineStr">
        <is>
          <t>partial</t>
        </is>
      </c>
      <c r="Z11" s="2" t="inlineStr">
        <is>
          <t>Monstare Protocol vNext: goal specificity and difficulty as levers, gated on commitment, feedback, and task complexity; use learning goals for complex tasks; watch the interaction with incentives (crowding risk per CORE-05/06); avoid goal imposition - the goal's telos stays the person's own (S1 guard) and the goal architecture itself is user-revisable/removable (S10, Ethics Auditor); the felt/affective side of goal pursuit (satisfaction, commitment) is part of the design space, not an afterthought.</t>
        </is>
      </c>
      <c r="AA11" s="2" t="inlineStr">
        <is>
          <t>Goal-setting is a technics of directed attention (source-sanctioned mechanism: direction of attention, effort, persistence); the cosmotechnic content is the telos guard - the goal's telos must remain the person's own; under the criterion that a technics must serve the person's affirmed order of value (A1-01), goal-assignment by the tool converts the person's directedness into the tool's output function, an output instrument (Tier-P - a verdict derived from the criterion, NOT a source claim; the source's paradigm imposes goals and shows performance gains).</t>
        </is>
      </c>
      <c r="AB11" s="2" t="inlineStr">
        <is>
          <t>CF-1</t>
        </is>
      </c>
      <c r="AC11" s="2" t="inlineStr">
        <is>
          <t>Monstare Protocol vNext</t>
        </is>
      </c>
      <c r="AE11" s="2" t="inlineStr">
        <is>
          <t>Empirical / applied research</t>
        </is>
      </c>
      <c r="AF11" s="2" t="inlineStr">
        <is>
          <t>24 months</t>
        </is>
      </c>
      <c r="AG11" s="2" t="inlineStr">
        <is>
          <t>2026-08-13</t>
        </is>
      </c>
      <c r="AH11" s="2" t="inlineStr">
        <is>
          <t>2028-08-13</t>
        </is>
      </c>
      <c r="AI11" s="2" t="inlineStr">
        <is>
          <t>Current - re-search on schedule</t>
        </is>
      </c>
    </row>
    <row r="12">
      <c r="A12" s="2" t="inlineStr">
        <is>
          <t>CORE-11</t>
        </is>
      </c>
      <c r="B12" s="2" t="inlineStr">
        <is>
          <t>Ordonez et al. — Goals Gone Wild</t>
        </is>
      </c>
      <c r="C12" s="7" t="inlineStr">
        <is>
          <t>https://www.hbs.edu/ris/Publication%20Files/09-083.pdf</t>
        </is>
      </c>
      <c r="D12" s="7" t="inlineStr">
        <is>
          <t>https://www.jstor.org/stable/27747490</t>
        </is>
      </c>
      <c r="E12" s="6" t="inlineStr">
        <is>
          <t>Open PDF / JSTOR landing</t>
        </is>
      </c>
      <c r="F12" s="7" t="inlineStr">
        <is>
          <t>Located - readable source</t>
        </is>
      </c>
      <c r="G12" s="2" t="inlineStr">
        <is>
          <t>Priority B pass: HBS working paper PDF and JSTOR landing located.; CHARTED 2026-08-13 batch 3 (CORE completion spine; full role QC pass); Charted text is the HBS Working Paper 09-083 (2009) version; version of record = Acad Mgmt Perspect 23(1):6-16 (JSTOR 27747490); working-paper provenance (unrefereed draft).; LOCUS 2026-08-13: supporting weight (not load-bearing); warning-label design implication architecturally load-bearing</t>
        </is>
      </c>
      <c r="H12" s="2" t="inlineStr">
        <is>
          <t>Ordonez et al. — Goals Gone Wild pdf DOI readable source</t>
        </is>
      </c>
      <c r="I12" s="4" t="inlineStr">
        <is>
          <t>https://www.google.com/search?q=Ordonez+et+al.+%E2%80%94+Goals+Gone+Wild+pdf+DOI+readable+source</t>
        </is>
      </c>
      <c r="J12" s="7" t="inlineStr">
        <is>
          <t>2026-08-13</t>
        </is>
      </c>
      <c r="K12" s="7" t="inlineStr">
        <is>
          <t>Charted - 2026-08-13</t>
        </is>
      </c>
      <c r="L12" s="2" t="inlineStr">
        <is>
          <t>core</t>
        </is>
      </c>
      <c r="M12" s="2" t="inlineStr">
        <is>
          <t>WS-G</t>
        </is>
      </c>
      <c r="N12" s="2" t="inlineStr">
        <is>
          <t>B</t>
        </is>
      </c>
      <c r="O12" s="2" t="inlineStr">
        <is>
          <t>WARNING</t>
        </is>
      </c>
      <c r="P12" s="2" t="inlineStr">
        <is>
          <t>narrative review (advocacy-adjacent, critical)</t>
        </is>
      </c>
      <c r="Q12" s="2" t="inlineStr">
        <is>
          <t>org psych</t>
        </is>
      </c>
      <c r="R12" s="2" t="inlineStr">
        <is>
          <t>conceptual</t>
        </is>
      </c>
      <c r="S12" s="2" t="inlineStr">
        <is>
          <t>medium</t>
        </is>
      </c>
      <c r="T12" s="2" t="inlineStr">
        <is>
          <t>The beneficial effects of goal setting are overstated; specific, challenging goals produce systematic side effects: narrow focus that neglects non-goal areas, rise in unethical behavior, distorted risk preferences, corrosion of organizational culture, reduced intrinsic motivation. Goal setting should be treated as prescription-strength medication: careful dosing, side-effect monitoring, close supervision, warning label (10-question caution list: goal specificity/comprehensiveness, challenge and failure costs, goal authorship, time horizon, risk appetite, unethical-behavior safeguards, idiosyncratic tailoring, culture/cooperation, intrinsic motivation, performance-vs-learning goals).</t>
        </is>
      </c>
      <c r="U12" s="2" t="inlineStr">
        <is>
          <t>not_quantifiable - narrative/argumentative review with case evidence (Sears, Enron-era); no pooled ES; the replicated positive linear difficulty-performance relation (Locke &amp; Latham) is acknowledged as a qualitative quote only, not re-quantified.</t>
        </is>
      </c>
      <c r="V12" s="2" t="inlineStr">
        <is>
          <t>Position/argumentative review (HBS Working Paper 09-083, unrefereed draft - charted text is the working-paper version; version of record = Acad Mgmt Perspect 23(1):6-16); selective emblematic cases; side-effect magnitudes not estimated; boundary conditions are the authors' own untested prescriptions; advocacy-adjacent in the OPPOSITE direction from CORE-10's originator-authored advocacy - the two rows draw on the SAME underlying experimental corpus and are opposing advocacy poles, NOT mutually confirming (never sum them).</t>
        </is>
      </c>
      <c r="W12" s="2" t="inlineStr">
        <is>
          <t>If goal setting's benefits hold without the named side effects under ordinary conditions (moderate goals, no reward link, user-set), the 'over-prescribed' verdict is overstated; the article itself concedes the positive linear relation under boundary conditions (commitment, ability, no conflicting goals).</t>
        </is>
      </c>
      <c r="X12" s="2" t="inlineStr">
        <is>
          <t>partial - specific challenging goals boost performance (replicated, acknowledged by the source); the row's warning concerns side effects.</t>
        </is>
      </c>
      <c r="Y12" s="2" t="inlineStr">
        <is>
          <t>yes - goal architecture is a vector (goal type, authorship, time horizon, risk articulation, culture/cooperation), not a scalar difficulty dial.</t>
        </is>
      </c>
      <c r="Z12" s="2" t="inlineStr">
        <is>
          <t>Goal failure modes -&gt; guardrails on the goal grammar (M4a): the tool's goal-setting layer must carry the warning-label logic - performance vs learning goals, user-set goals, time-horizon checks, risk articulation, intrinsic-motivation assessment, cooperation-aware goal units (Design Veto Catalogue, CF-1). Pairs with CORE-10's goal-grammar row as the opposing pole of a held tension.</t>
        </is>
      </c>
      <c r="AA12" s="2" t="inlineStr">
        <is>
          <t>Goal narrowing as moral flattening - a goal scalar (output) that blinds the person to non-goal areas reproduces the Sears pattern (unethical shortcutting under goal pressure); S7 moral-hollowing guard (Tier-P).</t>
        </is>
      </c>
      <c r="AB12" s="2" t="inlineStr">
        <is>
          <t>CF-1</t>
        </is>
      </c>
      <c r="AC12" s="2" t="inlineStr">
        <is>
          <t>Design Veto Catalogue</t>
        </is>
      </c>
      <c r="AE12" s="2" t="inlineStr">
        <is>
          <t>Empirical / applied research</t>
        </is>
      </c>
      <c r="AF12" s="2" t="inlineStr">
        <is>
          <t>24 months</t>
        </is>
      </c>
      <c r="AG12" s="2" t="inlineStr">
        <is>
          <t>2026-08-13</t>
        </is>
      </c>
      <c r="AH12" s="2" t="inlineStr">
        <is>
          <t>2028-08-13</t>
        </is>
      </c>
      <c r="AI12" s="2" t="inlineStr">
        <is>
          <t>Current - re-search on schedule</t>
        </is>
      </c>
    </row>
    <row r="13">
      <c r="A13" s="2" t="inlineStr">
        <is>
          <t>CORE-12</t>
        </is>
      </c>
      <c r="B13" s="2" t="inlineStr">
        <is>
          <t>Ferster &amp; Skinner — Schedules of Reinforcement</t>
        </is>
      </c>
      <c r="C13" s="7" t="inlineStr">
        <is>
          <t>https://archive.org/details/schedulesofreinf0000fers</t>
        </is>
      </c>
      <c r="D13" s="7" t="inlineStr">
        <is>
          <t>https://www.worldcat.org/title/191941</t>
        </is>
      </c>
      <c r="E13" s="6" t="inlineStr">
        <is>
          <t>Archive lending / catalog landing</t>
        </is>
      </c>
      <c r="F13" s="7" t="inlineStr">
        <is>
          <t>Located - restricted readable</t>
        </is>
      </c>
      <c r="G13" s="2" t="inlineStr">
        <is>
          <t>Archive lending page located; no stable open full text found in pass.; CHARTED 2026-08-13 batch 3 (CORE completion spine; full role QC pass); ABSTRACT-LEVEL CHARTING 2026-08-13 (documented decision): archive lending only; identity confirmed via archive.org catalog metadata (Ferster &amp; Skinner 1957, Appleton-Century-Crofts, 741 pp, ONR/Harvard 1949-1955); WorldCat landing bot-blocked (403), not dead; claims limited to catalog/known-content level (Tier-P).; LOCUS 2026-08-13: supporting weight (not load-bearing)</t>
        </is>
      </c>
      <c r="H13" s="2" t="inlineStr">
        <is>
          <t>Ferster &amp; Skinner — Schedules of Reinforcement pdf DOI readable source</t>
        </is>
      </c>
      <c r="I13" s="4" t="inlineStr">
        <is>
          <t>https://www.google.com/search?q=Ferster+%26+Skinner+%E2%80%94+Schedules+of+Reinforcement+pdf+DOI+readable+source</t>
        </is>
      </c>
      <c r="J13" s="7" t="inlineStr">
        <is>
          <t>2026-08-13</t>
        </is>
      </c>
      <c r="K13" s="7" t="inlineStr">
        <is>
          <t>Charted - 2026-08-13</t>
        </is>
      </c>
      <c r="L13" s="2" t="inlineStr">
        <is>
          <t>core</t>
        </is>
      </c>
      <c r="M13" s="2" t="inlineStr">
        <is>
          <t>WS-G</t>
        </is>
      </c>
      <c r="N13" s="2" t="inlineStr">
        <is>
          <t>A</t>
        </is>
      </c>
      <c r="O13" s="2" t="inlineStr">
        <is>
          <t>MECHANISM</t>
        </is>
      </c>
      <c r="P13" s="2" t="inlineStr">
        <is>
          <t>empirical (animal, 1957; catalog-attributed)</t>
        </is>
      </c>
      <c r="Q13" s="2" t="inlineStr">
        <is>
          <t>behavior analysis</t>
        </is>
      </c>
      <c r="R13" s="2" t="inlineStr">
        <is>
          <t>causal (lab-bounded, animal; catalog-attributed - unverified against text, Tier-P)</t>
        </is>
      </c>
      <c r="S13" s="2" t="inlineStr">
        <is>
          <t>medium</t>
        </is>
      </c>
      <c r="T13" s="2" t="inlineStr">
        <is>
          <t>ABSTRACT-LEVEL CHARTING (documented decision 2026-08-13): the 741-page ONR-funded monograph (Harvard, 1949-1955) is the empirical foundation of schedule-controlled behavior - systematic mapping of how fixed/variable interval and ratio schedules and extinction control operant responding. The textbook summary (variable-ratio schedules are most extinction-resistant) is the standard reading of the book's findings but was NOT verified against text this pass (lending-only) - Tier-P, unverified.</t>
        </is>
      </c>
      <c r="U13" s="2" t="inlineStr">
        <is>
          <t>not_quantifiable - no numeric extraction at abstract level; no schedule parameter may be quantified from this row.</t>
        </is>
      </c>
      <c r="V13" s="2" t="inlineStr">
        <is>
          <t>Full text unread (archive lending only); animal subjects (pigeons/rats), 1957 methods; era-bound evidence base - the monograph predates matching-law and later schedule research, so catalog-level claims cannot distinguish findings that survived replication from those later qualified; claims stay at catalog/documentary level (Tier-P).</t>
        </is>
      </c>
      <c r="W13" s="2" t="inlineStr">
        <is>
          <t>CORE-13's review (read this pass) shows schedule control is more complex than a single 'VR most extinction-resistant' rule: fixed-interval scallop depends on absolute interval duration (timescale-invariance violations), matching is overdetermined, chain schedules can collapse. Any tool rule importing one schedule heuristic would overreach.</t>
        </is>
      </c>
      <c r="X13" s="2" t="inlineStr">
        <is>
          <t>yes - contingency/schedule design shapes behavior (mechanism direction, Tier-P).</t>
        </is>
      </c>
      <c r="Y13" s="2" t="inlineStr">
        <is>
          <t>no</t>
        </is>
      </c>
      <c r="Z13" s="2" t="inlineStr">
        <is>
          <t>Contingency/schedule design (M4c) - schedule dynamics (extinction, satiation, contrast) are veto criteria for any tool-side reinforcement layer: the tool must not possess one; where schedule concepts inform the design grammar, import direction + bounded band only, never a point rule.</t>
        </is>
      </c>
      <c r="AA13" s="2" t="inlineStr">
        <is>
          <t>Any contingency-scheduled reward architecture in a tool is veto territory (CF-3): schedule control of the person is the dependency/captive-self failure mode per the CORE-16 criterion ('the self becomes captive of a certain kind of order'). The specific variable-ratio mechanism remains an UNVERIFIED hypothesis (abstract-level row), not a charted finding.</t>
        </is>
      </c>
      <c r="AB13" s="2" t="inlineStr">
        <is>
          <t>CF-3</t>
        </is>
      </c>
      <c r="AC13" s="2" t="inlineStr">
        <is>
          <t>Design Veto Catalogue</t>
        </is>
      </c>
      <c r="AE13" s="2" t="inlineStr">
        <is>
          <t>Empirical / applied research</t>
        </is>
      </c>
      <c r="AF13" s="2" t="inlineStr">
        <is>
          <t>24 months</t>
        </is>
      </c>
      <c r="AG13" s="2" t="inlineStr">
        <is>
          <t>2026-08-13</t>
        </is>
      </c>
      <c r="AH13" s="2" t="inlineStr">
        <is>
          <t>2028-08-13</t>
        </is>
      </c>
      <c r="AI13" s="2" t="inlineStr">
        <is>
          <t>Current - located, access/fit caveat</t>
        </is>
      </c>
    </row>
    <row r="14">
      <c r="A14" s="2" t="inlineStr">
        <is>
          <t>CORE-13</t>
        </is>
      </c>
      <c r="B14" s="2" t="inlineStr">
        <is>
          <t>Staddon &amp; Cerutti — operant conditioning review</t>
        </is>
      </c>
      <c r="C14" s="7" t="inlineStr">
        <is>
          <t>https://pmc.ncbi.nlm.nih.gov/articles/PMC1473025/</t>
        </is>
      </c>
      <c r="D14" s="7" t="inlineStr">
        <is>
          <t>https://scholars.duke.edu/publication/915302</t>
        </is>
      </c>
      <c r="E14" s="6" t="inlineStr">
        <is>
          <t>Open full text / DOI landing</t>
        </is>
      </c>
      <c r="F14" s="7" t="inlineStr">
        <is>
          <t>Located - readable source</t>
        </is>
      </c>
      <c r="G14" s="2" t="inlineStr">
        <is>
          <t>Priority B pass: PMC full text for Annual Review chapter located.; CHARTED 2026-08-13 batch 3 (CORE completion spine; full role QC pass); Read copy is the NIHMS author manuscript (PMC1473025, NIHMS2125), not the typeset version of record; final edited form: Annu Rev Psychol 54:115-144, doi 10.1146/annurev.psych.54.101601.145124 (paywalled).; LOCUS 2026-08-13: supporting weight (not load-bearing)</t>
        </is>
      </c>
      <c r="H14" s="2" t="inlineStr">
        <is>
          <t>Staddon &amp; Cerutti — operant conditioning review pdf DOI readable source</t>
        </is>
      </c>
      <c r="I14" s="4" t="inlineStr">
        <is>
          <t>https://www.google.com/search?q=Staddon+%26+Cerutti+%E2%80%94+operant+conditioning+review+pdf+DOI+readable+source</t>
        </is>
      </c>
      <c r="J14" s="7" t="inlineStr">
        <is>
          <t>2026-08-13</t>
        </is>
      </c>
      <c r="K14" s="7" t="inlineStr">
        <is>
          <t>Charted - 2026-08-13</t>
        </is>
      </c>
      <c r="L14" s="2" t="inlineStr">
        <is>
          <t>core</t>
        </is>
      </c>
      <c r="M14" s="2" t="inlineStr">
        <is>
          <t>WS-G</t>
        </is>
      </c>
      <c r="N14" s="2" t="inlineStr">
        <is>
          <t>B</t>
        </is>
      </c>
      <c r="O14" s="2" t="inlineStr">
        <is>
          <t>MECHANISM/REVIEW</t>
        </is>
      </c>
      <c r="P14" s="2" t="inlineStr">
        <is>
          <t>narrative review (non-systematic)</t>
        </is>
      </c>
      <c r="Q14" s="2" t="inlineStr">
        <is>
          <t>behavior analysis</t>
        </is>
      </c>
      <c r="R14" s="2" t="inlineStr">
        <is>
          <t>correlational (narrative review)</t>
        </is>
      </c>
      <c r="S14" s="2" t="inlineStr">
        <is>
          <t>low</t>
        </is>
      </c>
      <c r="T14" s="2" t="inlineStr">
        <is>
          <t>Operant behavior is behavior 'controlled' by its consequences (source terms); the review documents lawful but complex schedule effects across interval timing (proportional timing, Weber's law, linear waiting) and choice (matching law and its extensions, concurrent chains, self-control). Design discipline (matrix synthesis vocabulary - 'consequence-engineering' is the matrix's gloss, not the source's term): consequence design is not simple - matching is highly overdetermined (reveals little about underlying dynamics), molar response rate misses the fixed-interval scallop, multi-link chains can extinguish early links, and (per the authors) no integrated theory of conditioned reinforcement exists (contested within-field position, attributed).</t>
        </is>
      </c>
      <c r="U14" s="2" t="inlineStr">
        <is>
          <t>not_quantifiable - narrative review; functional relations (matching, scalar property) described qualitatively; no pooled ES, no external d-value imports.</t>
        </is>
      </c>
      <c r="V14" s="2" t="inlineStr">
        <is>
          <t>Animal-primary review with brief human coverage (human schedule results 'broadly similar' but with weaker reinforcers - verified); Annual Review solicited chapter, non-systematic; senior author is a committed behaviorist whose own theories (linear waiting, tuned-trace) are foregrounded - advocacy-adjacent within-field; literature to ~2001 (author manuscript); 'no integrated theory of conditioned reinforcement' is the authors' contested position, not settled fact.</t>
        </is>
      </c>
      <c r="W14" s="2" t="inlineStr">
        <is>
          <t>Timescale invariance is only approximately true (fixed-interval curvature depends on absolute interval length); matching maximization fails on simple RID schedules; chain responding can extinguish - schedule control has documented failure modes that naive contingency design would miss.</t>
        </is>
      </c>
      <c r="X14" s="2" t="inlineStr">
        <is>
          <t>yes - schedules/contingencies control behavior (mechanism direction, Tier-P; the review synthesizes causal experiments but is itself a review - citation-is-not-evidence).</t>
        </is>
      </c>
      <c r="Y14" s="2" t="inlineStr">
        <is>
          <t>no</t>
        </is>
      </c>
      <c r="Z14" s="2" t="inlineStr">
        <is>
          <t>Temper naive contingency design - the tool must not import simple reward/punish rules as calibrated scalars; consequences are powerful but non-obvious in their dynamics; use direction + bounded band; watch extinction/satiation dynamics (Motivation Crowding Watch Card, CF-3).</t>
        </is>
      </c>
      <c r="AA14" s="2" t="inlineStr">
        <is>
          <t>Consequence engineering has hidden costs - a behaviorist reward grammar applied to the person is the manipulation paradigm (HUI-2024 cybernetics guard; consistent with batch-2 CORE-09 refusal: the loop must not treat the person as the plant). Consequences as mirror, not leash: the tool surfaces consequences as information for the person's judgment, with no contingent scheduling or withholding on the tool side - the mirror is disclosure, not a loop; any contingency pairing is person-authored (Tier-P).</t>
        </is>
      </c>
      <c r="AB14" s="2" t="inlineStr">
        <is>
          <t>CF-3</t>
        </is>
      </c>
      <c r="AC14" s="2" t="inlineStr">
        <is>
          <t>Motivation Crowding Watch Card</t>
        </is>
      </c>
      <c r="AE14" s="2" t="inlineStr">
        <is>
          <t>Empirical / applied research</t>
        </is>
      </c>
      <c r="AF14" s="2" t="inlineStr">
        <is>
          <t>24 months</t>
        </is>
      </c>
      <c r="AG14" s="2" t="inlineStr">
        <is>
          <t>2026-08-13</t>
        </is>
      </c>
      <c r="AH14" s="2" t="inlineStr">
        <is>
          <t>2028-08-13</t>
        </is>
      </c>
      <c r="AI14" s="2" t="inlineStr">
        <is>
          <t>Current - re-search on schedule</t>
        </is>
      </c>
    </row>
    <row r="15">
      <c r="A15" s="2" t="inlineStr">
        <is>
          <t>CORE-14</t>
        </is>
      </c>
      <c r="B15" s="2" t="inlineStr">
        <is>
          <t>Clark &amp; Chalmers — The Extended Mind</t>
        </is>
      </c>
      <c r="C15" s="7" t="inlineStr">
        <is>
          <t>https://consc.net/papers/extended.html</t>
        </is>
      </c>
      <c r="D15" s="7" t="inlineStr">
        <is>
          <t>https://doi.org/10.1093/analys/58.1.7</t>
        </is>
      </c>
      <c r="E15" s="6" t="inlineStr">
        <is>
          <t>Author HTML / DOI landing</t>
        </is>
      </c>
      <c r="F15" s="7" t="inlineStr">
        <is>
          <t>Located - readable source</t>
        </is>
      </c>
      <c r="G15" s="2" t="inlineStr">
        <is>
          <t>Readable author version located for The Extended Mind.; CHARTED 2026-08-13 batch 3 (CORE completion spine; full role QC pass); Landing DOI replaced 2026-08-13: old 019823682X.003.0002 dead (404); replacement 10.1093/analys/58.1.7 verified via CrossRef (Analysis 58(1):7-19); OUP curl 403 = bot-block, not dead.; LOCUS 2026-08-13: supporting weight (not load-bearing); design role architecturally load-bearing (governing telos for Digital Capture Architecture)</t>
        </is>
      </c>
      <c r="H15" s="2" t="inlineStr">
        <is>
          <t>Clark &amp; Chalmers — The Extended Mind pdf DOI readable source</t>
        </is>
      </c>
      <c r="I15" s="4" t="inlineStr">
        <is>
          <t>https://www.google.com/search?q=Clark+%26+Chalmers+%E2%80%94+The+Extended+Mind+pdf+DOI+readable+source</t>
        </is>
      </c>
      <c r="J15" s="7" t="inlineStr">
        <is>
          <t>2026-08-13</t>
        </is>
      </c>
      <c r="K15" s="7" t="inlineStr">
        <is>
          <t>Charted - 2026-08-13</t>
        </is>
      </c>
      <c r="L15" s="2" t="inlineStr">
        <is>
          <t>core</t>
        </is>
      </c>
      <c r="M15" s="2" t="inlineStr">
        <is>
          <t>WS-E</t>
        </is>
      </c>
      <c r="N15" s="2" t="inlineStr">
        <is>
          <t>A</t>
        </is>
      </c>
      <c r="O15" s="2" t="inlineStr">
        <is>
          <t>TELOS</t>
        </is>
      </c>
      <c r="P15" s="2" t="inlineStr">
        <is>
          <t>philosophical</t>
        </is>
      </c>
      <c r="Q15" s="2" t="inlineStr">
        <is>
          <t>cognitive science</t>
        </is>
      </c>
      <c r="R15" s="2" t="inlineStr">
        <is>
          <t>conceptual</t>
        </is>
      </c>
      <c r="S15" s="2" t="inlineStr">
        <is>
          <t>high</t>
        </is>
      </c>
      <c r="T15" s="2" t="inlineStr">
        <is>
          <t>Cognition is partly constituted by body, tools, and environment (active externalism). Parity principle: if a part of the world functions as a process which, were it done in the head, we would have no hesitation in recognizing as part of the cognitive process, then that part of the world is part of the cognitive process ('cognitive processes ain't (all) in the head'). Otto's notebook plays the role of memory - the extended mind; the extended self follows; interfering with someone's environment can have the same moral significance as interfering with their person.</t>
        </is>
      </c>
      <c r="U15" s="2" t="inlineStr">
        <is>
          <t>not_quantifiable - philosophical argument (thought experiments, parity intuitions).</t>
        </is>
      </c>
      <c r="V15" s="2" t="inlineStr">
        <is>
          <t>Philosophical thesis, not empirical result; contested (internalist critiques; belief-criteria conditions - trust, constancy, endorsement - delimit the claim); no experimental test; the parity principle licenses framing but predicts no user effect - any empirical claim must come from other rows (CORE-17/19/20), not from this source.</t>
        </is>
      </c>
      <c r="W15" s="2" t="inlineStr">
        <is>
          <t>If the notebook fails the belief criteria (untrusted, rarely consulted, not endorsed), it is not part of belief - the authors set these conditions themselves; empirical findings that cognitive offloading does not yield the predicted effects would weaken the constitutive (not merely causal) claim.</t>
        </is>
      </c>
      <c r="X15" s="2" t="inlineStr">
        <is>
          <t>partial - the source's thesis is CONSTITUTIVE (environment constitutes cognition under parity criteria, active externalism), not a weaker causal 'shapes' claim; causal-effect claims must come from empirical rows.</t>
        </is>
      </c>
      <c r="Y15" s="2" t="inlineStr">
        <is>
          <t>yes - cognitive design is world-design (vector: ecology, technology, locality, reversibility).</t>
        </is>
      </c>
      <c r="Z15" s="2" t="inlineStr">
        <is>
          <t>Warrant for treating environment design as cognitive design - the tool's capture architecture, external memory, and ambient structure ARE part of the user's cognitive system (Digital Capture Architecture); but the environment is the user's locality: the tool must remain a revision-capable prosthesis, not a replacement (S10; HUI-2024 prosthesis-vs-replacement gate).</t>
        </is>
      </c>
      <c r="AA15" s="2" t="inlineStr">
        <is>
          <t>Cognitive design is also world-design - externalization is not neutral; designing the cognitive environment is designing the person's world (organology per HUI-2024 - exteriorized memory is an organ of the person; locality per A1-01's human-milieu cosmotechnics); extended mind licenses locality, not colonization, and locality means the person retains authorship and revision authority over a SHARED environment - not exclusion, which would forfeit prosthesis (criterion-derived Tier-P application under the C&amp;C parity criterion, not Hui's finding).</t>
        </is>
      </c>
      <c r="AC15" s="2" t="inlineStr">
        <is>
          <t>Digital Capture Architecture</t>
        </is>
      </c>
      <c r="AE15" s="2" t="inlineStr">
        <is>
          <t>Philosophical / historical / theoretical</t>
        </is>
      </c>
      <c r="AF15" s="2" t="inlineStr">
        <is>
          <t>60 months</t>
        </is>
      </c>
      <c r="AG15" s="2" t="inlineStr">
        <is>
          <t>2026-08-13</t>
        </is>
      </c>
      <c r="AH15" s="2" t="inlineStr">
        <is>
          <t>2031-08-13</t>
        </is>
      </c>
      <c r="AI15" s="2" t="inlineStr">
        <is>
          <t>Current - re-search on schedule</t>
        </is>
      </c>
    </row>
    <row r="16">
      <c r="A16" s="2" t="inlineStr">
        <is>
          <t>CORE-15</t>
        </is>
      </c>
      <c r="B16" s="2" t="inlineStr">
        <is>
          <t>Gross — emotion regulation timeline</t>
        </is>
      </c>
      <c r="C16" s="7" t="inlineStr">
        <is>
          <t>https://pubmed.ncbi.nlm.nih.gov/9457784/</t>
        </is>
      </c>
      <c r="D16" s="7" t="inlineStr">
        <is>
          <t>https://doi.org/10.1037/0022-3514.74.1.224</t>
        </is>
      </c>
      <c r="E16" s="6" t="inlineStr">
        <is>
          <t>PubMed abstract record / DOI landing - full text institutional (APA)</t>
        </is>
      </c>
      <c r="F16" s="7" t="inlineStr">
        <is>
          <t>Located - source landing (replacement verified 2026-08-13; full text needs access)</t>
        </is>
      </c>
      <c r="G16" s="2" t="inlineStr">
        <is>
          <t>Readable PDF located for Gross emotion regulation review.; REPLACEMENT 2026-08-13: original link 404. No open legal full-text PDF found from container (UCLA lab copy now 404; mirrors hostile). PubMed record + DOI landing verified. Legal full-text paths: APA PsycNET / institutional access / author (Stanford SPNL).; CHARTED 2026-08-13 batch 2 (workday-protocol spine; full role QC pass); ABSTRACT-LEVEL CHARTING 2026-08-13 (PubMed record 9457784); full text institutional (APA PsycNET) - chart only claims supported by the abstract.</t>
        </is>
      </c>
      <c r="H16" s="2" t="inlineStr">
        <is>
          <t>Gross — emotion regulation timeline pdf DOI readable source</t>
        </is>
      </c>
      <c r="I16" s="4" t="inlineStr">
        <is>
          <t>https://www.google.com/search?q=Gross+%E2%80%94+emotion+regulation+timeline+pdf+DOI+readable+source</t>
        </is>
      </c>
      <c r="J16" s="7" t="inlineStr">
        <is>
          <t>2026-08-13</t>
        </is>
      </c>
      <c r="K16" s="7" t="inlineStr">
        <is>
          <t>Charted - 2026-08-13</t>
        </is>
      </c>
      <c r="L16" s="2" t="inlineStr">
        <is>
          <t>core</t>
        </is>
      </c>
      <c r="M16" s="2" t="inlineStr">
        <is>
          <t>WS-C</t>
        </is>
      </c>
      <c r="N16" s="2" t="inlineStr">
        <is>
          <t>A</t>
        </is>
      </c>
      <c r="O16" s="2" t="inlineStr">
        <is>
          <t>MECHANISM</t>
        </is>
      </c>
      <c r="P16" s="2" t="inlineStr">
        <is>
          <t>empirical</t>
        </is>
      </c>
      <c r="Q16" s="2" t="inlineStr">
        <is>
          <t>affective science</t>
        </is>
      </c>
      <c r="R16" s="2" t="inlineStr">
        <is>
          <t>causal (lab-bounded: true experiment)</t>
        </is>
      </c>
      <c r="S16" s="2" t="inlineStr">
        <is>
          <t>medium</t>
        </is>
      </c>
      <c r="T16" s="2" t="inlineStr">
        <is>
          <t>Experiment (120 participants, disgusting film; process model as framing): both reappraisal (antecedent-focused) and suppression (response-focused) reduced emotion-expressive behavior; reappraisal decreased the EXPERIENCE of disgust; suppression INCREASED sympathetic activation; the two emotion regulatory processes have different adaptive consequences - the inner split under suppression (feeling the emotion while hiding it, the body paying) is the row's non-rational remainder.</t>
        </is>
      </c>
      <c r="U16" s="2" t="inlineStr">
        <is>
          <t>not_quantifiable (abstract-level; significant behavioral/experiential/physiological differences; specific statistics in full text, which is institutional)</t>
        </is>
      </c>
      <c r="V16" s="2" t="inlineStr">
        <is>
          <t>Abstract-level charting (PubMed record; APA full text institutional); single emotion (disgust) and single induction (film); short-term measurement; 'increased sympathetic activation' framed as a physiological COST is an interpretive inference (sympathetic arousal is a marker); 'reappraisal may fail under cognitive load' is an external inference, tagged as such, not a source claim; cultural moderation of suppression effects is an external boundary condition, not charted.</t>
        </is>
      </c>
      <c r="W16" s="2" t="inlineStr">
        <is>
          <t>Suppression's increased sympathetic activation implies costs of response-focused regulation (interpretive, Tier-P); if reappraisal requires cognitive resources, it may be unavailable under load (inference, not source claim); strategy effectiveness depends on context and individual differences not covered here.</t>
        </is>
      </c>
      <c r="X16" s="2" t="inlineStr">
        <is>
          <t>yes</t>
        </is>
      </c>
      <c r="Y16" s="2" t="inlineStr">
        <is>
          <t>partial</t>
        </is>
      </c>
      <c r="Z16" s="2" t="inlineStr">
        <is>
          <t>Monstare Protocol vNext: emotion regulation is time-sensitive - support ANTECEDENT-focused regulation (reappraisal, situation modification) over response-focused (suppression); regulation timing (before vs after the emotion) is a design parameter; interruption flows must not force suppression (offer outlet/antecedent options - do not rely on reappraisal-only strategies in interruption-heavy conditions); the felt state is preserved before the timing parameter.</t>
        </is>
      </c>
      <c r="AA16" s="2" t="inlineStr">
        <is>
          <t>Emotion regulation grammar: antecedent-focused regulation changes the felt state at its source (reappraisal reduced disgust experience); response-focused suppression splits felt experience from expressed behavior at a physiological price (increased sympathetic activation; 'cost' interpretive, Tier-P, with boundary conditions - reappraisal may fail under load, suppression has situational uses); the tool's temporal structure (when it interrupts, when it asks for emotion work) is morally consequential under the criterion that a technics must not force the person's affective life into a hidden split (S7: no morally hollow productivity).</t>
        </is>
      </c>
      <c r="AC16" s="2" t="inlineStr">
        <is>
          <t>Monstare Protocol vNext</t>
        </is>
      </c>
      <c r="AE16" s="2" t="inlineStr">
        <is>
          <t>General supporting source</t>
        </is>
      </c>
      <c r="AF16" s="2" t="inlineStr">
        <is>
          <t>36 months</t>
        </is>
      </c>
      <c r="AG16" s="2" t="inlineStr">
        <is>
          <t>2026-08-13</t>
        </is>
      </c>
      <c r="AH16" s="2" t="inlineStr">
        <is>
          <t>2029-08-13</t>
        </is>
      </c>
      <c r="AI16" s="2" t="inlineStr">
        <is>
          <t>Current - re-search on schedule</t>
        </is>
      </c>
    </row>
    <row r="17">
      <c r="A17" s="2" t="inlineStr">
        <is>
          <t>CORE-16</t>
        </is>
      </c>
      <c r="B17" s="2" t="inlineStr">
        <is>
          <t>Csikszentmihalyi — Flow</t>
        </is>
      </c>
      <c r="C17" s="7" t="inlineStr">
        <is>
          <t>https://archive.org/details/flowpsychologyof0000csik</t>
        </is>
      </c>
      <c r="D17" s="7" t="inlineStr">
        <is>
          <t>https://www.harpercollins.com/products/flow-mihaly-csikszentmihalyi</t>
        </is>
      </c>
      <c r="E17" s="6" t="inlineStr">
        <is>
          <t>Archive lending / publisher landing</t>
        </is>
      </c>
      <c r="F17" s="7" t="inlineStr">
        <is>
          <t>Located - restricted readable</t>
        </is>
      </c>
      <c r="G17" s="2" t="inlineStr">
        <is>
          <t>Archive lending and publisher page located; charting should use borrowed/legal copy.; CHARTED 2026-08-13 batch 3 (CORE completion spine; full role QC pass); Full book read from a course-hosted mirror (timothydavidson.com) - third-party copy of the in-copyright 1990 Harper &amp; Row 1st ed. (312 pp; text layer verified). Rights caveat: mirror is not an authorized distribution; archive.org lending item (1991 HarperPerennial reprint, 303 pp) remains canonical. Page references trace to 1990 1st ed. pagination.; LOCUS 2026-08-13: load-bearing (flow-layer phenomenological anchor; originator-corpus caveat; never quantitative)</t>
        </is>
      </c>
      <c r="H17" s="2" t="inlineStr">
        <is>
          <t>Csikszentmihalyi — Flow pdf DOI readable source</t>
        </is>
      </c>
      <c r="I17" s="4" t="inlineStr">
        <is>
          <t>https://www.google.com/search?q=Csikszentmihalyi+%E2%80%94+Flow+pdf+DOI+readable+source</t>
        </is>
      </c>
      <c r="J17" s="7" t="inlineStr">
        <is>
          <t>2026-08-13</t>
        </is>
      </c>
      <c r="K17" s="7" t="inlineStr">
        <is>
          <t>Charted - 2026-08-13</t>
        </is>
      </c>
      <c r="L17" s="2" t="inlineStr">
        <is>
          <t>core</t>
        </is>
      </c>
      <c r="M17" s="2" t="inlineStr">
        <is>
          <t>WS-E</t>
        </is>
      </c>
      <c r="N17" s="2" t="inlineStr">
        <is>
          <t>A</t>
        </is>
      </c>
      <c r="O17" s="2" t="inlineStr">
        <is>
          <t>MECHANISM</t>
        </is>
      </c>
      <c r="P17" s="2" t="inlineStr">
        <is>
          <t>theoretical</t>
        </is>
      </c>
      <c r="Q17" s="2" t="inlineStr">
        <is>
          <t>psychology</t>
        </is>
      </c>
      <c r="R17" s="2" t="inlineStr">
        <is>
          <t>conceptual</t>
        </is>
      </c>
      <c r="S17" s="2" t="inlineStr">
        <is>
          <t>medium</t>
        </is>
      </c>
      <c r="T17" s="2" t="inlineStr">
        <is>
          <t>Optimal experience (flow) occurs when attention is ordered: information congruent with goals -&gt; psychic energy flows effortlessly (the opposite of psychic entropy). The felt record, in capture order: deep absorption (action and awareness merge; the activity becomes spontaneous, almost automatic); the worries and frustrations of everyday life drop out of awareness; a sense of control; time distortion (hours pass in minutes); loss of self-consciousness, yet the self paradoxically emerges stronger afterward and can reach self-transcendence; clear goals and immediate feedback; challenges matched to skills (the 'golden ratio' is qualitative metaphor - no numeric ratio exists in the source); and the autotelic quality - the experience is an end in itself, done for the doing. Flow builds a more complex self; the conditions are suppliable, the state is not forceable ('Control over consciousness cannot be institutionalized'); flow activities can become addictive - 'the self becomes captive of a certain kind of order, and is then unwilling to cope with the ambiguities of life', losing 'the freedom to determine the content of consciousness'.</t>
        </is>
      </c>
      <c r="U17" s="2" t="inlineStr">
        <is>
          <t>not_quantifiable - theoretical synthesis grounded in the author's ESM corpus; zero statistics in the source text; the 'golden ratio' must never be operationalized as a numeric challenge-skill ratio.</t>
        </is>
      </c>
      <c r="V17" s="2" t="inlineStr">
        <is>
          <t>Theoretical + descriptive (ESM/experience-sampling, self-report retrospective base; signal-contingent sampling and self-report reactivity are known ESM limits); originator-authored synthesis drawing on the author's own corpus (self-study reliance - literature-overlap/double-counting risk with any flow evidence row, same rule as CORE-10/CORE-11); individual differences (autotelic personality); the addiction passage is the phenomenon's shadow side (dependency, escapism, narrowed attention), not a calibrated risk.</t>
        </is>
      </c>
      <c r="W17" s="2" t="inlineStr">
        <is>
          <t>If challenge-skill balance is neither necessary nor sufficient (flow reported in low-challenge or feedback-free contexts), the conditions claim is incomplete; the addiction passage shows flow can capture rather than liberate - a tool that manufactures flow-like reward states reproduces the captive-self failure mode and deletes the freedom-to-return.</t>
        </is>
      </c>
      <c r="X17" s="2" t="inlineStr">
        <is>
          <t>yes - flow is an achievable optimal-experience state (as the theory asserts; demonstration rests on the author's own corpus).</t>
        </is>
      </c>
      <c r="Y17" s="2" t="inlineStr">
        <is>
          <t>partial - flow as attunement (vector), never extraction (scalar output).</t>
        </is>
      </c>
      <c r="Z17" s="2" t="inlineStr">
        <is>
          <t>Conditions suppliable; state not forceable - the tool can supply flow's conditions (clear goals, immediate feedback, challenge options at the person's choosing) but must not command or extract the state; 'Control over consciousness cannot be institutionalized' (p. 21): a reliably reproduced condition-set is, by the book's own logic, no longer flow; challenge calibration is person-side, never tool-side (A9-06 person-designated principle carries); flow is respite-with-return - the tool must preserve the freedom to leave flow and return to ambiguity, never optimize flow-time (flow conditions are structural/presence-based 0/1, never calibrated scalars).</t>
        </is>
      </c>
      <c r="AA17" s="2" t="inlineStr">
        <is>
          <t>Flow as attunement, not extraction - flow is the image of harmonious absorption; the tool cultivates the person's own ordering of attention; the addiction passage (captive self, loss of the freedom to determine the content of consciousness) is the anti-veneer test: a tool manufacturing dependency on flow-like rewards fails the criterion.</t>
        </is>
      </c>
      <c r="AC17" s="2" t="inlineStr">
        <is>
          <t>Arousal/Flow/Task-Switching Layer</t>
        </is>
      </c>
      <c r="AE17" s="2" t="inlineStr">
        <is>
          <t>Empirical / applied research</t>
        </is>
      </c>
      <c r="AF17" s="2" t="inlineStr">
        <is>
          <t>24 months</t>
        </is>
      </c>
      <c r="AG17" s="2" t="inlineStr">
        <is>
          <t>2026-08-13</t>
        </is>
      </c>
      <c r="AH17" s="2" t="inlineStr">
        <is>
          <t>2028-08-13</t>
        </is>
      </c>
      <c r="AI17" s="2" t="inlineStr">
        <is>
          <t>Current - located, access/fit caveat</t>
        </is>
      </c>
    </row>
    <row r="18">
      <c r="A18" s="2" t="inlineStr">
        <is>
          <t>CORE-17</t>
        </is>
      </c>
      <c r="B18" s="2" t="inlineStr">
        <is>
          <t>Kazdin — Single-Case Research Designs</t>
        </is>
      </c>
      <c r="C18" s="4" t="inlineStr">
        <is>
          <t>https://archive.org/details/singlecaseresear00alan</t>
        </is>
      </c>
      <c r="D18" s="4" t="inlineStr">
        <is>
          <t>https://books.google.com/books/about/Single_Case_Research_Designs.html?id=RvrTEQAAQBAJ</t>
        </is>
      </c>
      <c r="E18" s="2" t="inlineStr">
        <is>
          <t>Borrow/controlled digital lending or book preview</t>
        </is>
      </c>
      <c r="F18" s="2" t="inlineStr">
        <is>
          <t>Readable source located - access controlled</t>
        </is>
      </c>
      <c r="G18" s="2" t="inlineStr">
        <is>
          <t>Exact edition may vary. Archive link is 1982 access-restricted scan; Google Books entry shows later third edition. Treat as access-controlled book, not open article.; CHARTED 2026-08-13 batch 3 (CORE completion spine; full role QC pass); ABSTRACT-LEVEL CHARTING 2026-08-13 (documented decision): 1982 book lending-only; Kazdin 2021 JEAB paywalled (abstract readable); identity confirmed via archive.org catalog metadata (Kazdin, Alan E., 1982, Oxford UP, xiii+368 pp - cited 1st ed.); Google Books landing is a later edition; SCED inference claims stay per-case (Tier-P).; LOCUS 2026-08-13: supporting weight (not load-bearing)</t>
        </is>
      </c>
      <c r="H18" s="2" t="inlineStr">
        <is>
          <t>Kazdin — Single-Case Research Designs pdf DOI readable source</t>
        </is>
      </c>
      <c r="I18" s="4" t="inlineStr">
        <is>
          <t>https://www.google.com/search?q=Kazdin+%E2%80%94+Single-Case+Research+Designs+pdf+DOI+readable+source</t>
        </is>
      </c>
      <c r="J18" s="2" t="inlineStr">
        <is>
          <t>2026-08-13</t>
        </is>
      </c>
      <c r="K18" s="2" t="inlineStr">
        <is>
          <t>Charted - 2026-08-13</t>
        </is>
      </c>
      <c r="L18" s="2" t="inlineStr">
        <is>
          <t>methods</t>
        </is>
      </c>
      <c r="M18" s="2" t="inlineStr">
        <is>
          <t>methods</t>
        </is>
      </c>
      <c r="N18" s="2" t="inlineStr">
        <is>
          <t>A</t>
        </is>
      </c>
      <c r="O18" s="2" t="inlineStr">
        <is>
          <t>METHOD</t>
        </is>
      </c>
      <c r="P18" s="2" t="inlineStr">
        <is>
          <t>methods</t>
        </is>
      </c>
      <c r="Q18" s="2" t="inlineStr">
        <is>
          <t>research methods</t>
        </is>
      </c>
      <c r="R18" s="2" t="inlineStr">
        <is>
          <t>conceptual (methods source - prescribes inference, demonstrates none); within-case causal inference is licensed only for executed SCEDs that include a baseline phase; no population generalization</t>
        </is>
      </c>
      <c r="S18" s="2" t="inlineStr">
        <is>
          <t>low</t>
        </is>
      </c>
      <c r="T18" s="2" t="inlineStr">
        <is>
          <t>ABSTRACT-LEVEL CHARTING (documented decision 2026-08-13): the 1982 Oxford UP volume is the canonical methods text for SCEDs - multiple-baseline and related designs control history/maturation without a control person, licensing within-case causal inference. Corroborated at abstract level by Kazdin 2021 (JEAB 115(1):56-85, paywalled body): core features of SCEDs, how key/ancillary features evolved, special strengths, and challenges impeding integration remain live.</t>
        </is>
      </c>
      <c r="U18" s="2" t="inlineStr">
        <is>
          <t>not_quantifiable - methods source; no estimates.</t>
        </is>
      </c>
      <c r="V18" s="2" t="inlineStr">
        <is>
          <t>Abstract-level charting (full texts gated: 1982 book lending-only, 2021 JEAB paywalled); 1982 1st ed. vs later editions differ (Google Books landing is a later edition); SCED inference is per-case (no population generalization); visual-analysis-vs-statistical-power debate is live (Kazdin 2021 abstract); concrete SCED practice conventions (phase lengths, baseline counts) are NOT in the charted base - the pilot's phase plan must be validated against a readable methods text before execution.</t>
        </is>
      </c>
      <c r="W18" s="2" t="inlineStr">
        <is>
          <t>SCED causal claims are contested (the 'challenges' Kazdin names); without a no-reward baseline phase, no causal inference (batch-1/2 rule; DKR 1999 excluded no-control studies); N-of-1 evidence cannot license population claims.</t>
        </is>
      </c>
      <c r="X18" s="2" t="inlineStr">
        <is>
          <t>partial - SCED is the Tier-C pilot's inference spine (design-licenses claim, Tier-P).</t>
        </is>
      </c>
      <c r="Y18" s="2" t="inlineStr">
        <is>
          <t>no</t>
        </is>
      </c>
      <c r="Z18" s="2" t="inlineStr">
        <is>
          <t>Spine of the Tier-C pilot (SCED): phase logic = baseline -&gt; intervention -&gt; follow-up; multiple-baseline across behaviors needs &gt;=2 staggered baselines; visual-analysis rule pre-specified in the Preregistration Packet; reporting per SCRIBE (CORE-18); claims bounded to the individual (Tier-P).</t>
        </is>
      </c>
      <c r="AA18" s="2" t="inlineStr">
        <is>
          <t>Per-case claims stay per-case - the pilot never trades the person's singular record for a population average (Tier-P: an inference-scope application, not a moral valuation of uniqueness); rigorous N-of-1 inference is the guard against false generalization.</t>
        </is>
      </c>
      <c r="AC18" s="2" t="inlineStr">
        <is>
          <t>SCED Phase Plan</t>
        </is>
      </c>
      <c r="AD18" s="2" t="inlineStr">
        <is>
          <t>OC-5</t>
        </is>
      </c>
      <c r="AE18" s="2" t="inlineStr">
        <is>
          <t>Methods / reporting standards</t>
        </is>
      </c>
      <c r="AF18" s="2" t="inlineStr">
        <is>
          <t>36 months</t>
        </is>
      </c>
      <c r="AG18" s="2" t="inlineStr">
        <is>
          <t>2026-08-13</t>
        </is>
      </c>
      <c r="AH18" s="2" t="inlineStr">
        <is>
          <t>2029-08-13</t>
        </is>
      </c>
      <c r="AI18" s="2" t="inlineStr">
        <is>
          <t>Current - re-search on schedule</t>
        </is>
      </c>
    </row>
    <row r="19">
      <c r="A19" s="2" t="inlineStr">
        <is>
          <t>CORE-18</t>
        </is>
      </c>
      <c r="B19" s="2" t="inlineStr">
        <is>
          <t>Tate et al. — SCRIBE 2016 reporting guideline</t>
        </is>
      </c>
      <c r="C19" s="4" t="inlineStr">
        <is>
          <t>https://doi.org/10.1037/arc0000026</t>
        </is>
      </c>
      <c r="D19" s="4" t="inlineStr">
        <is>
          <t>https://academic.oup.com/ptj/article/96/7/e1/2864911</t>
        </is>
      </c>
      <c r="E19" s="2" t="inlineStr">
        <is>
          <t>Open guideline page / article page / checklist PDF</t>
        </is>
      </c>
      <c r="F19" s="2" t="inlineStr">
        <is>
          <t>Readable source found</t>
        </is>
      </c>
      <c r="G19" s="2" t="inlineStr">
        <is>
          <t>EQUATOR page supplies full bibliographic reference, links, and the 26-item SCRIBE 2016 guideline.; CHARTED 2026-08-13 batch 3 (CORE completion spine; full role QC pass); LOCUS 2026-08-13: supporting weight (not load-bearing)</t>
        </is>
      </c>
      <c r="H19" s="2" t="inlineStr">
        <is>
          <t>Tate et al. — SCRIBE 2016 reporting guideline pdf DOI readable source</t>
        </is>
      </c>
      <c r="I19" s="4" t="inlineStr">
        <is>
          <t>https://www.google.com/search?q=Tate+et+al.+%E2%80%94+SCRIBE+2016+reporting+guideline+pdf+DOI+readable+source</t>
        </is>
      </c>
      <c r="J19" s="2" t="inlineStr">
        <is>
          <t>2026-08-13</t>
        </is>
      </c>
      <c r="K19" s="2" t="inlineStr">
        <is>
          <t>Charted - 2026-08-13</t>
        </is>
      </c>
      <c r="L19" s="2" t="inlineStr">
        <is>
          <t>methods</t>
        </is>
      </c>
      <c r="M19" s="2" t="inlineStr">
        <is>
          <t>methods</t>
        </is>
      </c>
      <c r="N19" s="2" t="inlineStr">
        <is>
          <t>A</t>
        </is>
      </c>
      <c r="O19" s="2" t="inlineStr">
        <is>
          <t>METHOD</t>
        </is>
      </c>
      <c r="P19" s="2" t="inlineStr">
        <is>
          <t>methods</t>
        </is>
      </c>
      <c r="Q19" s="2" t="inlineStr">
        <is>
          <t>research methods</t>
        </is>
      </c>
      <c r="R19" s="2" t="inlineStr">
        <is>
          <t>conceptual</t>
        </is>
      </c>
      <c r="S19" s="2" t="inlineStr">
        <is>
          <t>low</t>
        </is>
      </c>
      <c r="T19" s="2" t="inlineStr">
        <is>
          <t>SCRIBE 2016 = a 26-item checklist for reporting single-case research, developed through 2 Delphi surveys + a 2-day expert consensus meeting (CONSORT-family process), published simultaneously in 9 journals; purpose: clear, complete, accurate reporting (title/abstract through results/discussion); explicitly NOT design/analysis guidance.</t>
        </is>
      </c>
      <c r="U19" s="2" t="inlineStr">
        <is>
          <t>not_quantifiable - reporting guideline.</t>
        </is>
      </c>
      <c r="V19" s="2" t="inlineStr">
        <is>
          <t>Reporting standards do not guarantee design validity ('the SCRIBE 2016 does not make recommendations about how to design, conduct or analyze data from single-case experiments' - verbatim); consensus/Delphi-based (expert judgment, not empirical test); checklist burden; SCRIBE's 26 items assume single-case phase designs - fit with MRT-style component reports (CORE-19) is not automatic.</t>
        </is>
      </c>
      <c r="W19" s="2" t="inlineStr">
        <is>
          <t>A fully SCRIBE-compliant report of a poorly designed SCED is still poor evidence - reporting quality does not equal evidence quality (the reporting-guideline version of citation-is-not-evidence).</t>
        </is>
      </c>
      <c r="X19" s="2" t="inlineStr">
        <is>
          <t>partial - the pilot's reporting follows SCRIBE (reporting quality is a necessary but not sufficient condition of pilot validity).</t>
        </is>
      </c>
      <c r="Y19" s="2" t="inlineStr">
        <is>
          <t>no</t>
        </is>
      </c>
      <c r="Z19" s="2" t="inlineStr">
        <is>
          <t>Governs SCED reporting quality - the pilot's Preregistration Packet and final report must address the 26 items, with an explicit reporting-mapping step for MRT-style component reports (CORE-19); the quality rubric must separate reporting score from design validity.</t>
        </is>
      </c>
      <c r="AA19" s="2" t="inlineStr">
        <is>
          <t>Transparency as anti-self-deception - reporting discipline makes the tool's own claims auditable (the person can see the record; reversibility S10).</t>
        </is>
      </c>
      <c r="AC19" s="2" t="inlineStr">
        <is>
          <t>Preregistration Packet</t>
        </is>
      </c>
      <c r="AD19" s="2" t="inlineStr">
        <is>
          <t>OC-5</t>
        </is>
      </c>
      <c r="AE19" s="2" t="inlineStr">
        <is>
          <t>Methods / reporting standards</t>
        </is>
      </c>
      <c r="AF19" s="2" t="inlineStr">
        <is>
          <t>36 months</t>
        </is>
      </c>
      <c r="AG19" s="2" t="inlineStr">
        <is>
          <t>2026-08-13</t>
        </is>
      </c>
      <c r="AH19" s="2" t="inlineStr">
        <is>
          <t>2029-08-13</t>
        </is>
      </c>
      <c r="AI19" s="2" t="inlineStr">
        <is>
          <t>Current - re-search on schedule</t>
        </is>
      </c>
    </row>
    <row r="20">
      <c r="A20" s="2" t="inlineStr">
        <is>
          <t>CORE-19</t>
        </is>
      </c>
      <c r="B20" s="2" t="inlineStr">
        <is>
          <t>Klasnja et al. — Micro-randomized trials</t>
        </is>
      </c>
      <c r="C20" s="7" t="inlineStr">
        <is>
          <t>https://www.ambujtewari.com/research/klasnja15microrandomized.pdf</t>
        </is>
      </c>
      <c r="D20" s="7" t="inlineStr">
        <is>
          <t>https://doi.org/10.1037/hea0000305</t>
        </is>
      </c>
      <c r="E20" s="6" t="inlineStr">
        <is>
          <t>Author-hosted PDF / DOI landing</t>
        </is>
      </c>
      <c r="F20" s="7" t="inlineStr">
        <is>
          <t>Located - readable source</t>
        </is>
      </c>
      <c r="G20" s="2" t="inlineStr">
        <is>
          <t>PMC open full text located for micro-randomized trials paper.; CHARTED 2026-08-13 batch 3 (CORE completion spine; full role QC pass); URL REPLACED 2026-08-13 - seeded readable PMC5820391 was a WRONG article (Aasdahl et al. 2018, J Occup Rehabil); seeded landing 10.1016/j.cct.2015.07.003 was ALSO a wrong article (Broglio et al., Contemp Clin Trials); replacement = author-hosted PDF (co-author A. Tewari's site, text-layer verified) + landing doi.org/10.1037/hea0000305 (verified live).; LOCUS 2026-08-13: supporting weight (not load-bearing); pilot-rule role architecturally load-bearing</t>
        </is>
      </c>
      <c r="H20" s="2" t="inlineStr">
        <is>
          <t>Klasnja et al. — Micro-randomized trials pdf DOI readable source</t>
        </is>
      </c>
      <c r="I20" s="4" t="inlineStr">
        <is>
          <t>https://www.google.com/search?q=Klasnja+et+al.+%E2%80%94+Micro-randomized+trials+pdf+DOI+readable+source</t>
        </is>
      </c>
      <c r="J20" s="7" t="inlineStr">
        <is>
          <t>2026-08-13</t>
        </is>
      </c>
      <c r="K20" s="7" t="inlineStr">
        <is>
          <t>Charted - 2026-08-13</t>
        </is>
      </c>
      <c r="L20" s="2" t="inlineStr">
        <is>
          <t>methods</t>
        </is>
      </c>
      <c r="M20" s="2" t="inlineStr">
        <is>
          <t>methods</t>
        </is>
      </c>
      <c r="N20" s="2" t="inlineStr">
        <is>
          <t>A</t>
        </is>
      </c>
      <c r="O20" s="2" t="inlineStr">
        <is>
          <t>METHOD</t>
        </is>
      </c>
      <c r="P20" s="2" t="inlineStr">
        <is>
          <t>methods</t>
        </is>
      </c>
      <c r="Q20" s="2" t="inlineStr">
        <is>
          <t>research methods</t>
        </is>
      </c>
      <c r="R20" s="2" t="inlineStr">
        <is>
          <t>conceptual (methods)</t>
        </is>
      </c>
      <c r="S20" s="2" t="inlineStr">
        <is>
          <t>low</t>
        </is>
      </c>
      <c r="T20" s="2" t="inlineStr">
        <is>
          <t>MRT = experimental design for optimizing JITAIs: participants are microrandomized at decision points to intervention components; enables causal modeling of proximal effects of individual components and time-varying effect moderation (when and for whom components work); overcomes RCT limitations (whole-package evaluation) and factorial-design limitations for adaptive interventions.</t>
        </is>
      </c>
      <c r="U20" s="2" t="inlineStr">
        <is>
          <t>not_quantifiable - methods paper; HeartSteps is an illustrative example only (no MRT effect estimates exist in the paper).</t>
        </is>
      </c>
      <c r="V20" s="2" t="inlineStr">
        <is>
          <t>Methods overview, no primary results; causal claims are proximal, not distal; requires sensing/delivery infrastructure - MRT estimation needs many microrandomized decision points per participant (decision-point density/power feasibility is unexamined for the pilot); assumptions to be pre-registered: no carryover/no-engagement effects, no interference between participants (SUTVA), correct time-varying model specification - violation biases estimates; component optimization does not equal whole-ecology validation.</t>
        </is>
      </c>
      <c r="W20" s="2" t="inlineStr">
        <is>
          <t>If component effects are not time-varying or carryover/engagement effects violate MRT assumptions, estimates are biased; MRT optimizes components - a separate confirming phase (CORE-20) is still required for the full system.</t>
        </is>
      </c>
      <c r="X20" s="2" t="inlineStr">
        <is>
          <t>partial - the pilot's component testing uses MRT logic (design-licenses claim: executed microrandomization licenses causal attribution of proximal effects only).</t>
        </is>
      </c>
      <c r="Y20" s="2" t="inlineStr">
        <is>
          <t>no</t>
        </is>
      </c>
      <c r="Z20" s="2" t="inlineStr">
        <is>
          <t>For JITAI-style component testing - used only where the person opts into prompt density; prompt frequency is person-capped, never a tool-tuned scalar. The tool's component testing (Digital Capture Architecture) uses microrandomization for proximal-effect attribution; full-system claims require a confirming phase (CORE-20); decision points must be defined in the capture architecture.</t>
        </is>
      </c>
      <c r="AA20" s="2" t="inlineStr">
        <is>
          <t>Rigor for the digital channel - honest causal attribution of digital components serves the person; but component optimization must never treat the person's attention or engagement as an optimizable resource (S1/S10 guard; the tool stays a locality, not an optimizer of the user).</t>
        </is>
      </c>
      <c r="AC20" s="2" t="inlineStr">
        <is>
          <t>Digital Capture Architecture</t>
        </is>
      </c>
      <c r="AE20" s="2" t="inlineStr">
        <is>
          <t>Methods / reporting standards</t>
        </is>
      </c>
      <c r="AF20" s="2" t="inlineStr">
        <is>
          <t>36 months</t>
        </is>
      </c>
      <c r="AG20" s="2" t="inlineStr">
        <is>
          <t>2026-08-13</t>
        </is>
      </c>
      <c r="AH20" s="2" t="inlineStr">
        <is>
          <t>2029-08-13</t>
        </is>
      </c>
      <c r="AI20" s="2" t="inlineStr">
        <is>
          <t>Current - re-search on schedule</t>
        </is>
      </c>
    </row>
    <row r="21">
      <c r="A21" s="2" t="inlineStr">
        <is>
          <t>CORE-20</t>
        </is>
      </c>
      <c r="B21" s="2" t="inlineStr">
        <is>
          <t>Collins — Multiphase Optimization Strategy (MOST)</t>
        </is>
      </c>
      <c r="C21" s="7" t="inlineStr">
        <is>
          <t>https://pmc.ncbi.nlm.nih.gov/articles/PMC2062525/</t>
        </is>
      </c>
      <c r="D21" s="7" t="inlineStr">
        <is>
          <t>https://doi.org/10.1016/j.amepre.2007.01.022</t>
        </is>
      </c>
      <c r="E21" s="6" t="inlineStr">
        <is>
          <t>Open full text (PMC OA; readable via browser-stack, curl sees JS shell) / DOI landing</t>
        </is>
      </c>
      <c r="F21" s="7" t="inlineStr">
        <is>
          <t>Located - readable source (replacement verified 2026-08-13)</t>
        </is>
      </c>
      <c r="G21" s="2" t="inlineStr">
        <is>
          <t>Readable MOST overview located; verify if matrix should reference book vs overview during charting.; REPLACEMENT 2026-08-13: original link 404. PMC OA full text verified via browser-stack extraction (46k chars, Collins, Murphy &amp; Strecher 2007).; CHARTED 2026-08-13 batch 3 (CORE completion spine; full role QC pass); Audit-correction 2026-08-13: audit CSV BAD_DEAD applied to a superseded URL (PSU MOST-Overview PDF, 2018); current readable PMC2062525 verified LIVE and correct (Collins, Murphy &amp; Strecher 2007, Am J Prev Med 32(5 Suppl):S112-S118).; LOCUS 2026-08-13: supporting weight (not load-bearing); pilot-rule role architecturally load-bearing</t>
        </is>
      </c>
      <c r="H21" s="2" t="inlineStr">
        <is>
          <t>Collins — Multiphase Optimization Strategy (MOST) pdf DOI readable source</t>
        </is>
      </c>
      <c r="I21" s="4" t="inlineStr">
        <is>
          <t>https://www.google.com/search?q=Collins+%E2%80%94+Multiphase+Optimization+Strategy+%28MOST%29+pdf+DOI+readable+source</t>
        </is>
      </c>
      <c r="J21" s="7" t="inlineStr">
        <is>
          <t>2026-08-13</t>
        </is>
      </c>
      <c r="K21" s="7" t="inlineStr">
        <is>
          <t>Charted - 2026-08-13</t>
        </is>
      </c>
      <c r="L21" s="2" t="inlineStr">
        <is>
          <t>methods</t>
        </is>
      </c>
      <c r="M21" s="2" t="inlineStr">
        <is>
          <t>methods</t>
        </is>
      </c>
      <c r="N21" s="2" t="inlineStr">
        <is>
          <t>A</t>
        </is>
      </c>
      <c r="O21" s="2" t="inlineStr">
        <is>
          <t>METHOD</t>
        </is>
      </c>
      <c r="P21" s="2" t="inlineStr">
        <is>
          <t>methods</t>
        </is>
      </c>
      <c r="Q21" s="2" t="inlineStr">
        <is>
          <t>research methods</t>
        </is>
      </c>
      <c r="R21" s="2" t="inlineStr">
        <is>
          <t>conceptual (methods)</t>
        </is>
      </c>
      <c r="S21" s="2" t="inlineStr">
        <is>
          <t>low</t>
        </is>
      </c>
      <c r="T21" s="2" t="inlineStr">
        <is>
          <t>MOST = three-phase strategy for building/evaluating behavioral interventions: screening (efficiently identify active components), refining (fine-tune components/dosage), confirming (standard randomized confirmatory trial of the optimized package); SMART = design for building adaptive interventions (identify tailoring variables and decision rules empirically). Both use randomized experimentation for valid inference - an alternative to the slow RCT -&gt; post-hoc -&gt; revision cycle.</t>
        </is>
      </c>
      <c r="U21" s="2" t="inlineStr">
        <is>
          <t>not_quantifiable - methods overview; the illustration is explicitly hypothetical ('based on, but not identical to or an account of, the work of one of the authors') - no component result exists to chart.</t>
        </is>
      </c>
      <c r="V21" s="2" t="inlineStr">
        <is>
          <t>Methods overview; methods were 'relatively untried at this writing' (2007) - treat MOST logic as heuristic scaffold with built-in fallbacks, not validated machinery; component-by-component optimization can miss non-additive interactions; confirming phase still requires a full RCT; screening 'may be made on the basis of estimated effect size' - a design detail that invites exactly the external-ES import the matrix forbids (flagged for the pilot's component-screening protocol); component-level optimization does not equal ecology-level efficacy.</t>
        </is>
      </c>
      <c r="W21" s="2" t="inlineStr">
        <is>
          <t>If component effects interact non-additively beyond what factorial screening captures, the optimized package underperforms; MOST optimizes components - the tool must not mistake component optimization for ecosystem cultivation.</t>
        </is>
      </c>
      <c r="X21" s="2" t="inlineStr">
        <is>
          <t>partial - the pilot's Intervention Component Library follows MOST (design-licenses claim: ONLY the MOST confirming phase - a standard RCT of the optimized package - licenses package-level causal claims, and the Tier-C pilot is not a confirming-phase trial).</t>
        </is>
      </c>
      <c r="Y21" s="2" t="inlineStr">
        <is>
          <t>no</t>
        </is>
      </c>
      <c r="Z21" s="2" t="inlineStr">
        <is>
          <t>Channel attribution once components defined - the pilot's component library + attribution logic follows MOST's screening -&gt; refining -&gt; confirming sequence (directly feeds the Tier-C pilot); optimization results must never be labeled efficacy; the pilot is screening/refining-stage logic.</t>
        </is>
      </c>
      <c r="AA21" s="2" t="inlineStr">
        <is>
          <t>Avoid confounding the whole ecology - the tool must not optimize the person's total environment as if it were a component set; the ecology is the person's locality, not the optimizer's. The operative distinction is standpoint: the person may optimize their own locality; the tool may not (S1; matrix locality guard anchored in A1-01's human-milieu cosmotechnics and HUI-2024's technodiversity/organology - matrix vocabulary, not a Hui-2024 phrase).</t>
        </is>
      </c>
      <c r="AC21" s="2" t="inlineStr">
        <is>
          <t>Intervention Component Library</t>
        </is>
      </c>
      <c r="AD21" s="2" t="inlineStr">
        <is>
          <t>OC-3</t>
        </is>
      </c>
      <c r="AE21" s="2" t="inlineStr">
        <is>
          <t>Methods / reporting standards</t>
        </is>
      </c>
      <c r="AF21" s="2" t="inlineStr">
        <is>
          <t>36 months</t>
        </is>
      </c>
      <c r="AG21" s="2" t="inlineStr">
        <is>
          <t>2026-08-13</t>
        </is>
      </c>
      <c r="AH21" s="2" t="inlineStr">
        <is>
          <t>2029-08-13</t>
        </is>
      </c>
      <c r="AI21" s="2" t="inlineStr">
        <is>
          <t>Current - re-search on schedule</t>
        </is>
      </c>
    </row>
    <row r="22">
      <c r="A22" s="2" t="inlineStr">
        <is>
          <t>A1-01</t>
        </is>
      </c>
      <c r="B22" s="2" t="inlineStr">
        <is>
          <t>Hui — The Question Concerning Technology in China</t>
        </is>
      </c>
      <c r="C22" s="4" t="inlineStr">
        <is>
          <t>https://ia800505.us.archive.org/20/items/cyclonopedia-negarestani-reza/The_Question_Concerning_Technology_in_China--_Yuk_Hui.pdf</t>
        </is>
      </c>
      <c r="D22" s="4" t="inlineStr">
        <is>
          <t>https://www.urbanomic.com/book/question-concerning-technology-china/</t>
        </is>
      </c>
      <c r="E22" s="2" t="inlineStr">
        <is>
          <t>Archive.org scan (Text PDF, rights caution) / publisher landing</t>
        </is>
      </c>
      <c r="F22" s="2" t="inlineStr">
        <is>
          <t>Readable source found - verify rights/edition</t>
        </is>
      </c>
      <c r="G22" s="2" t="inlineStr">
        <is>
          <t>Use legally obtained copy if possible. Existing design memo relies more centrally on Hui 2024, which is open access.; CHARTED 2026-08-13 batch 1 (motivational/cosmotechnic spine; full role QC pass); BODY CLAIMS VERIFIED 2026-08-13 from archive scan pp.25-50 (~ print pp.18-43): Heidegger-impasse, §1, §2 incl. cosmotechnics definition (scan p.37) and Leroi-Gourhan/Gille critiques; file A1-01_intro_verified.txt</t>
        </is>
      </c>
      <c r="H22" s="2" t="inlineStr">
        <is>
          <t>Hui — The Question Concerning Technology in China pdf DOI readable source</t>
        </is>
      </c>
      <c r="I22" s="4" t="inlineStr">
        <is>
          <t>https://www.google.com/search?q=Hui+%E2%80%94+The+Question+Concerning+Technology+in+China+pdf+DOI+readable+source</t>
        </is>
      </c>
      <c r="J22" s="2" t="inlineStr">
        <is>
          <t>2026-08-13</t>
        </is>
      </c>
      <c r="K22" s="2" t="inlineStr">
        <is>
          <t>Charted - 2026-08-13</t>
        </is>
      </c>
      <c r="L22" s="2" t="n">
        <v>1</v>
      </c>
      <c r="M22" s="2" t="inlineStr">
        <is>
          <t>WS-K</t>
        </is>
      </c>
      <c r="N22" s="2" t="inlineStr">
        <is>
          <t>A</t>
        </is>
      </c>
      <c r="O22" s="2" t="inlineStr">
        <is>
          <t>TELOS</t>
        </is>
      </c>
      <c r="P22" s="2" t="inlineStr">
        <is>
          <t>philosophical</t>
        </is>
      </c>
      <c r="Q22" s="2" t="inlineStr">
        <is>
          <t>philosophy of tech</t>
        </is>
      </c>
      <c r="R22" s="2" t="inlineStr">
        <is>
          <t>conceptual</t>
        </is>
      </c>
      <c r="S22" s="2" t="inlineStr">
        <is>
          <t>high</t>
        </is>
      </c>
      <c r="T22" s="2" t="inlineStr">
        <is>
          <t>Technology is not anthropologically universal; 'cosmotechnics' names the unification of cosmos (cosmological order), morality (ethical order), and technics (technical order) - 'scientific and technical thinking emerges under cosmological conditions expressed in the relations between humans and their milieus, which are never static' (verified from the archive scan, PDF p.37 ~ print pp.18-19; page numbering differs between scan and Urbanomic print edition); the question concerning technology in China cannot be answered by importing Heidegger's Occidental framework (impasse); urgent need for a Chinese philosophy of technology that pluralizes technics and counters blind modernization while avoiding culturalist nostalgia; critique of Leroi-Gourhan (technical genealogy misses cosmological conditions) and Gille (Western-centric technical systems).</t>
        </is>
      </c>
      <c r="U22" s="2" t="inlineStr">
        <is>
          <t>not_quantifiable (philosophical). Strength = high as the governing cosmotechnic criterion source (a construct-role claim, not evidence strength).</t>
        </is>
      </c>
      <c r="V22" s="2" t="inlineStr">
        <is>
          <t>Single-author constructive essay/book; programmatic argument with normative agenda; selective engagement with Chinese intellectual history (read through Heidegger/Needham/Simondon/Stiegler); archive.org scan is a rights-caution copy (shared non-lending collection item; uploader rights unverified) - prefer publisher/licensed text for formal quoting; edition/page-number variance between scan and print; 'cosmotechnic pluralism' is a thesis, not an established descriptive fact.</t>
        </is>
      </c>
      <c r="W22" s="2" t="inlineStr">
        <is>
          <t>If technics are ultimately universalizable (functional convergence), cosmotechnic pluralism overstates divergence; if 'cosmotechnics' itself operates with Western categories, the critique of dependency is incomplete (an internal challenge Hui anticipates); historical technology shows massive cross-cultural borrowing, complicating civilizational distinctness claims.</t>
        </is>
      </c>
      <c r="X22" s="2" t="inlineStr">
        <is>
          <t>partial</t>
        </is>
      </c>
      <c r="Y22" s="2" t="inlineStr">
        <is>
          <t>yes</t>
        </is>
      </c>
      <c r="Z22" s="2" t="inlineStr">
        <is>
          <t>Governing telos (layer 2.13) - the plan's horizon: the tool must be grounded in a cosmos-ethic-technics unity, not output maximization; any artifact claim must be checkable against the cosmotechnic criterion.</t>
        </is>
      </c>
      <c r="AA22" s="2" t="inlineStr">
        <is>
          <t>Sets the whole cosmotechnic criterion; anti-veneer standard - 'cosmotechnics' must remain structural, never decorative. (No revision: correct and meta-level.)</t>
        </is>
      </c>
      <c r="AB22" s="2" t="inlineStr">
        <is>
          <t>CF-10</t>
        </is>
      </c>
      <c r="AC22" s="2" t="inlineStr">
        <is>
          <t>Cosmotechnic Audit Card</t>
        </is>
      </c>
      <c r="AD22" s="2" t="inlineStr">
        <is>
          <t>OC-7</t>
        </is>
      </c>
      <c r="AE22" s="2" t="inlineStr">
        <is>
          <t>Philosophical / historical / theoretical</t>
        </is>
      </c>
      <c r="AF22" s="2" t="inlineStr">
        <is>
          <t>60 months</t>
        </is>
      </c>
      <c r="AG22" s="2" t="inlineStr">
        <is>
          <t>2026-08-13</t>
        </is>
      </c>
      <c r="AH22" s="2" t="inlineStr">
        <is>
          <t>2031-08-13</t>
        </is>
      </c>
      <c r="AI22" s="2" t="inlineStr">
        <is>
          <t>Current - re-search on schedule</t>
        </is>
      </c>
    </row>
    <row r="23">
      <c r="A23" s="2" t="inlineStr">
        <is>
          <t>A1-02</t>
        </is>
      </c>
      <c r="B23" s="2" t="inlineStr">
        <is>
          <t>Hui — Cosmotechnics as Cosmopolitics</t>
        </is>
      </c>
      <c r="C23" s="7" t="inlineStr">
        <is>
          <t>https://www.e-flux.com/journal/86/161887/cosmotechnics-as-cosmopolitics/</t>
        </is>
      </c>
      <c r="D23" s="7" t="inlineStr">
        <is>
          <t>https://digitalmilieu.net/1248/cosmotechnics-as-cosmopolitics/</t>
        </is>
      </c>
      <c r="E23" s="6" t="inlineStr">
        <is>
          <t>Open HTML</t>
        </is>
      </c>
      <c r="F23" s="7" t="inlineStr">
        <is>
          <t>Located - readable source</t>
        </is>
      </c>
      <c r="G23" s="2" t="inlineStr">
        <is>
          <t>Priority B pass: e-flux full text and author page located. CHARTED 2026-08-14 batch 4a (A1 philosophy-of-technology spine; collapsed Pip+Locus+Methodologist+Purist QC). Same author as A1-01/HUI-2024 — cosmotechnics definition consistent.</t>
        </is>
      </c>
      <c r="H23" s="2" t="inlineStr">
        <is>
          <t>Hui — Cosmotechnics as Cosmopolitics pdf DOI readable source</t>
        </is>
      </c>
      <c r="I23" s="4" t="inlineStr">
        <is>
          <t>https://www.google.com/search?q=Hui+%E2%80%94+Cosmotechnics+as+Cosmopolitics+pdf+DOI+readable+source</t>
        </is>
      </c>
      <c r="J23" s="7" t="inlineStr">
        <is>
          <t>2026-08-13</t>
        </is>
      </c>
      <c r="K23" s="7" t="inlineStr">
        <is>
          <t>Charted - 2026-08-14</t>
        </is>
      </c>
      <c r="L23" s="2" t="n">
        <v>10</v>
      </c>
      <c r="M23" s="2" t="inlineStr">
        <is>
          <t>WS-K</t>
        </is>
      </c>
      <c r="N23" s="2" t="inlineStr">
        <is>
          <t>B</t>
        </is>
      </c>
      <c r="O23" s="2" t="inlineStr">
        <is>
          <t>TELOS/CRITIQUE</t>
        </is>
      </c>
      <c r="P23" s="2" t="inlineStr">
        <is>
          <t>philosophical</t>
        </is>
      </c>
      <c r="Q23" s="2" t="inlineStr">
        <is>
          <t>philosophy of tech</t>
        </is>
      </c>
      <c r="R23" s="2" t="inlineStr">
        <is>
          <t>conceptual</t>
        </is>
      </c>
      <c r="S23" s="2" t="inlineStr">
        <is>
          <t>high</t>
        </is>
      </c>
      <c r="T23" s="2" t="inlineStr">
        <is>
          <t>Cosmotechnics must move from cosmology to cosmopolitics as cosmopolitics. The concept is rooted in a Kantian antinomy: (Thesis) technology is an anthropological universal — exteriorization of memory, liberation of organs; (Antithesis) technology is NOT anthropologically universal but enabled/constrained by particular cosmologies. Hence there is no single technology but multiple cosmotechnics. Cosmotechnics = 'the unification of the cosmos and the moral through technical activities, whether craft-making or art-making' (§3). Every culture must systematize its own cosmotechnics (e.g., the Chinese Qi-Dao episteme) — the project is not traditionalist but a reopening of the question of technology to envisage bifurcation of technological futures. The ontological turn in anthropology (Descola, Viveiros de Castro, Latour) is a provocation but insufficiently addresses technics.</t>
        </is>
      </c>
      <c r="U23" s="2" t="inlineStr">
        <is>
          <t>not_quantifiable (philosophical). Strength = high as a TELOS/CRITIQUE row — the multiple-cosmotechnics thesis is the direct extension of A1-01 and HUI-2024's cosmotechnic pluralism (construct-role claim).</t>
        </is>
      </c>
      <c r="V23" s="2" t="inlineStr">
        <is>
          <t>Single-author programmatic journal article; normative agenda; selective engagement with anthropology, Chinese philosophy, and Kant/Hegel. The cosmotechnics concept is constructive, not empirically demonstrated. Same author as governing rows A1-01/HUI-2024 — self-citation risk; consistency check is the relevant QC, not independence.</t>
        </is>
      </c>
      <c r="W23" s="2" t="inlineStr">
        <is>
          <t>If the cosmotechnics concept merely reproduces the Western philosopher's gesture of systematizing other cultures' thought (if Qi-Dao reconstruction is Orientalist projection), it reinstates the unilateral globalization it claims to overcome.</t>
        </is>
      </c>
      <c r="X23" s="2" t="inlineStr">
        <is>
          <t>no</t>
        </is>
      </c>
      <c r="Y23" s="2" t="inlineStr">
        <is>
          <t>yes</t>
        </is>
      </c>
      <c r="Z23" s="2" t="inlineStr">
        <is>
          <t>The tool's design must answer to a cosmotechnic criterion internal to its milieu — not a universal 'best practice' exported from one technical culture. Support personal technodiversity: the tool should not impose one cosmos-ethic-technics unity but allow the user's own cosmotechnic (cf. A1-01's milieu-localization). Refuse one productivity ontology.</t>
        </is>
      </c>
      <c r="AA23" s="2" t="inlineStr">
        <is>
          <t>Direct cosmotechnic criterion: the unification of cosmos + moral through technical activity must be plural, not singular. The artifact must not flatten multiple cosmotechnics into the global technical system. (Definitional continuity with A1-01's cosmotechnics-as-unification and HUI-2024's technodiversity confirmed.)</t>
        </is>
      </c>
      <c r="AB23" s="2" t="inlineStr">
        <is>
          <t>CF-8</t>
        </is>
      </c>
      <c r="AC23" s="2" t="inlineStr">
        <is>
          <t>Technodiversity &amp; Cultural Fit Sheet</t>
        </is>
      </c>
      <c r="AD23" s="2" t="inlineStr">
        <is>
          <t>OC-11</t>
        </is>
      </c>
      <c r="AE23" s="2" t="inlineStr">
        <is>
          <t>Philosophical / historical / theoretical</t>
        </is>
      </c>
      <c r="AF23" s="2" t="inlineStr">
        <is>
          <t>60 months</t>
        </is>
      </c>
      <c r="AG23" s="2" t="inlineStr">
        <is>
          <t>2026-08-13</t>
        </is>
      </c>
      <c r="AH23" s="2" t="inlineStr">
        <is>
          <t>2031-08-13</t>
        </is>
      </c>
      <c r="AI23" s="2" t="inlineStr">
        <is>
          <t>Current - re-search on schedule</t>
        </is>
      </c>
    </row>
    <row r="24">
      <c r="A24" s="2" t="inlineStr">
        <is>
          <t>A1-03</t>
        </is>
      </c>
      <c r="B24" s="2" t="inlineStr">
        <is>
          <t>Hui — Art and Cosmotechnics</t>
        </is>
      </c>
      <c r="C24" s="7" t="inlineStr">
        <is>
          <t>https://www.e-flux.com/books/327526/art-and-cosmotechnics</t>
        </is>
      </c>
      <c r="D24" s="7" t="inlineStr">
        <is>
          <t>https://www.upress.umn.edu/9781517909543/art-and-cosmotechnics/</t>
        </is>
      </c>
      <c r="E24" s="6" t="inlineStr">
        <is>
          <t>Publisher/e-flux landing (JSTOR-downloaded full text, research use only)</t>
        </is>
      </c>
      <c r="F24" s="7" t="inlineStr">
        <is>
          <t>Located - landing source</t>
        </is>
      </c>
      <c r="G24" s="2" t="inlineStr">
        <is>
          <t>Priority B pass: publisher and e-flux book landing found; full text may require purchase/library. CHARTED 2026-08-14 batch 4b (A1 philosophy-of-technology spine; collapsed QC). Same author as A1-01/HUI-2024 — cosmotechnics definition consistent. JSTOR copy, research use only.</t>
        </is>
      </c>
      <c r="H24" s="2" t="inlineStr">
        <is>
          <t>Hui — Art and Cosmotechnics pdf DOI readable source</t>
        </is>
      </c>
      <c r="I24" s="4" t="inlineStr">
        <is>
          <t>https://www.google.com/search?q=Hui+%E2%80%94+Art+and+Cosmotechnics+pdf+DOI+readable+source</t>
        </is>
      </c>
      <c r="J24" s="7" t="inlineStr">
        <is>
          <t>2026-08-13</t>
        </is>
      </c>
      <c r="K24" s="7" t="inlineStr">
        <is>
          <t>Charted - 2026-08-14</t>
        </is>
      </c>
      <c r="L24" s="2" t="n">
        <v>1</v>
      </c>
      <c r="M24" s="2" t="inlineStr">
        <is>
          <t>WS-K</t>
        </is>
      </c>
      <c r="N24" s="2" t="inlineStr">
        <is>
          <t>B</t>
        </is>
      </c>
      <c r="O24" s="2" t="inlineStr">
        <is>
          <t>TELOS</t>
        </is>
      </c>
      <c r="P24" s="2" t="inlineStr">
        <is>
          <t>philosophical</t>
        </is>
      </c>
      <c r="Q24" s="2" t="inlineStr">
        <is>
          <t>philosophy of tech</t>
        </is>
      </c>
      <c r="R24" s="2" t="inlineStr">
        <is>
          <t>conceptual</t>
        </is>
      </c>
      <c r="S24" s="2" t="inlineStr">
        <is>
          <t>medium</t>
        </is>
      </c>
      <c r="T24" s="2" t="inlineStr">
        <is>
          <t>Art is the site where cosmotechnics is renewed — not as a return to tradition but as a recursive rethinking of the relation between sensibility, technology, and cosmos. The book develops a 'historical psychology of the tragic cosmos' — the Greek tragic tradition establishes a cosmos-technics relation that modernity has disrupted. 'Daoist vs. Tragist Cosmotechnics' (§4) stages the central contrast: two cosmotechnic orientations (Daoist — letting-be, non-intervention; Tragist — heroic action, fate) that produce radically different relations to technology. 'Recursive machines' (§5) addresses the contemporary moment: digital technologies are recursive — they operate on their own operations, producing a 'cybernetics' that threatens to close the cosmotechnic question by reducing all relations to feedback. The task is to find an organic relation between modern technology and human sensibility that avoids the twin traps of nostalgic return and techno-accelerarism.</t>
        </is>
      </c>
      <c r="U24" s="2" t="inlineStr">
        <is>
          <t>not_quantifiable (philosophical). Strength = medium-high as the TELOS row — the Daoist/Tragist contrast is a new cosmotechnic typology (construct-role claim).</t>
        </is>
      </c>
      <c r="V24" s="2" t="inlineStr">
        <is>
          <t>JSTOR-downloaded copy (redistribution against ToS — research use only). Same author as A1-01/HUI-2024 — self-citation and definitional continuity check is the relevant QC, not independence. The 'recursive machines' chapter is programmatic — the critique of cybernetics is gestured at more than demonstrated. The contrast between Daoist and Tragist cosmotechnics risks being a typological device rather than a historically grounded analysis.</t>
        </is>
      </c>
      <c r="W24" s="2" t="inlineStr">
        <is>
          <t>If art is NOT the privileged site for cosmotechnic renewal (if the renewal happens in labor, politics, or everyday practice), the book overstates the aesthetic dimension. If 'recursive machines' are not uniquely cybernetic (if recursivity is a feature of all complex systems), the critique of digital technology understates its continuity with earlier technics.</t>
        </is>
      </c>
      <c r="X24" s="2" t="inlineStr">
        <is>
          <t>no</t>
        </is>
      </c>
      <c r="Y24" s="2" t="inlineStr">
        <is>
          <t>yes</t>
        </is>
      </c>
      <c r="Z24" s="2" t="inlineStr">
        <is>
          <t>The tool should preserve and cultivate the user's sensibility — not just their output capacity. The Daoist/Tragist contrast is a design resource: the tool can be oriented toward letting-be (Daoist) or heroic action (Tragist). The artifact should resist the recursive closure of the user's sensibility into a feedback loop.</t>
        </is>
      </c>
      <c r="AA24" s="2" t="inlineStr">
        <is>
          <t>Art is a cosmotechnic activity — the unification of cosmos, morality, and technics through aesthetic practice. The cosmotechnic criterion includes the aesthetic dimension of tool use. (Definitional continuity with A1-01 and A1-02 confirmed — cosmotechnics as the unification of cosmos and moral through technical activity is consistent across all three Hui rows.)</t>
        </is>
      </c>
      <c r="AB24" s="2" t="inlineStr">
        <is>
          <t>CF-7</t>
        </is>
      </c>
      <c r="AC24" s="2" t="inlineStr">
        <is>
          <t>Ritual Transition Cards</t>
        </is>
      </c>
      <c r="AE24" s="2" t="inlineStr">
        <is>
          <t>Philosophical / historical / theoretical</t>
        </is>
      </c>
      <c r="AF24" s="2" t="inlineStr">
        <is>
          <t>60 months</t>
        </is>
      </c>
      <c r="AG24" s="2" t="inlineStr">
        <is>
          <t>2026-08-13</t>
        </is>
      </c>
      <c r="AH24" s="2" t="inlineStr">
        <is>
          <t>2031-08-13</t>
        </is>
      </c>
      <c r="AI24" s="2" t="inlineStr">
        <is>
          <t>Current - re-search on schedule</t>
        </is>
      </c>
    </row>
    <row r="25">
      <c r="A25" s="2" t="inlineStr">
        <is>
          <t>A1-04</t>
        </is>
      </c>
      <c r="B25" s="2" t="inlineStr">
        <is>
          <t>Hui &amp; Lemmens (eds.) — Cosmotechnics (Anthropocene)</t>
        </is>
      </c>
      <c r="C25" s="7" t="inlineStr">
        <is>
          <t>https://api.pageplace.de/preview/DT0400.9781000396324_A40918824/preview-9781000396324_A40918824.pdf</t>
        </is>
      </c>
      <c r="D25" s="7" t="inlineStr">
        <is>
          <t>https://www.routledge.com/Cosmotechnics-For-a-Renewed-Concept-of-Technology-in-the-Anthropocene/Hui-Lemmens/p/book/9780367769376</t>
        </is>
      </c>
      <c r="E25" s="6" t="inlineStr">
        <is>
          <t>Preview PDF / publisher landing</t>
        </is>
      </c>
      <c r="F25" s="7" t="inlineStr">
        <is>
          <t>Located - preview source</t>
        </is>
      </c>
      <c r="G25" s="2" t="inlineStr">
        <is>
          <t>Priority B pass: preview/source landing found; full book likely library/purchase. CHARTED 2026-08-14 batch 4a (A1 philosophy-of-technology spine; collapsed QC). PARTIAL TEXT — TOC + front matter only. Full introduction chapter needed for upgrade.</t>
        </is>
      </c>
      <c r="H25" s="2" t="inlineStr">
        <is>
          <t>Hui &amp; Lemmens (eds.) — Cosmotechnics (Anthropocene) pdf DOI readable source</t>
        </is>
      </c>
      <c r="I25" s="4" t="inlineStr">
        <is>
          <t>https://www.google.com/search?q=Hui+%26+Lemmens+%28eds.%29+%E2%80%94+Cosmotechnics+%28Anthropocene%29+pdf+DOI+readable+source</t>
        </is>
      </c>
      <c r="J25" s="7" t="inlineStr">
        <is>
          <t>2026-08-13</t>
        </is>
      </c>
      <c r="K25" s="7" t="inlineStr">
        <is>
          <t>Charted - 2026-08-14</t>
        </is>
      </c>
      <c r="L25" s="2" t="n">
        <v>1</v>
      </c>
      <c r="M25" s="2" t="inlineStr">
        <is>
          <t>WS-K</t>
        </is>
      </c>
      <c r="N25" s="2" t="inlineStr">
        <is>
          <t>B</t>
        </is>
      </c>
      <c r="O25" s="2" t="inlineStr">
        <is>
          <t>TELOS</t>
        </is>
      </c>
      <c r="P25" s="2" t="inlineStr">
        <is>
          <t>review/anthology</t>
        </is>
      </c>
      <c r="Q25" s="2" t="inlineStr">
        <is>
          <t>philosophy of tech</t>
        </is>
      </c>
      <c r="R25" s="2" t="inlineStr">
        <is>
          <t>conceptual</t>
        </is>
      </c>
      <c r="S25" s="2" t="inlineStr">
        <is>
          <t>medium</t>
        </is>
      </c>
      <c r="T25" s="2" t="inlineStr">
        <is>
          <t>An edited volume pluralizing the cosmotechnics conversation beyond Hui's own work. The volume takes up the cosmotechnics project (the unification of cosmos, morality, and technics across plural traditions) and situates it in the Anthropocene. TOC confirms chapters engaging: the Anthropocene as techno-philosophical problem, the meaning of technology in the Anthropocene, and the cosmotechnic response to planetary technological convergence. Cosmotechnic pluralism and the critique of universal technology are the framing stakes. The volume is a conversation across multiple voices, not Hui's monologic program.</t>
        </is>
      </c>
      <c r="U25" s="2" t="inlineStr">
        <is>
          <t>not_quantifiable (edited volume, partial text). Strength = medium as the cosmotechnic pluralism extension row (construct-role claim, partial-coverage caveat).</t>
        </is>
      </c>
      <c r="V25" s="2" t="inlineStr">
        <is>
          <t>Preview/partial text only — 17pp TOC + front matter, NOT the full introduction chapter. The chapter authors' specific arguments are not in front of me; charting is at the volume's framing level. To be upgraded if/when the user supplies the full introduction chapter.</t>
        </is>
      </c>
      <c r="W25" s="2" t="inlineStr">
        <is>
          <t>If the volume's plural voices turn out to reproduce the same cosmotechnic program without genuine pluralism (if it is Hui-school consolidation, not a genuine conversation), the 'pluralizing' thesis is overstated.</t>
        </is>
      </c>
      <c r="X25" s="2" t="inlineStr">
        <is>
          <t>no</t>
        </is>
      </c>
      <c r="Y25" s="2" t="inlineStr">
        <is>
          <t>yes</t>
        </is>
      </c>
      <c r="Z25" s="2" t="inlineStr">
        <is>
          <t>Pluralism at the scale of practice — the tool's design must be answerable to a cosmotechnic criterion that is itself revisable through the conversation the volume stages. No single cosmotechnic should harden into orthodoxy.</t>
        </is>
      </c>
      <c r="AA25" s="2" t="inlineStr">
        <is>
          <t>The ecological stakes of tools are cosmotechnic, not merely technical. The criterion is the plurality of cosmos-ethics-technics unifications the Anthropocene forces into confrontation.</t>
        </is>
      </c>
      <c r="AB25" s="2" t="inlineStr">
        <is>
          <t>CF-8</t>
        </is>
      </c>
      <c r="AC25" s="2" t="inlineStr">
        <is>
          <t>Cosmotechnic Audit Card</t>
        </is>
      </c>
      <c r="AE25" s="2" t="inlineStr">
        <is>
          <t>Empirical / applied research</t>
        </is>
      </c>
      <c r="AF25" s="2" t="inlineStr">
        <is>
          <t>24 months</t>
        </is>
      </c>
      <c r="AG25" s="2" t="inlineStr">
        <is>
          <t>2026-08-13</t>
        </is>
      </c>
      <c r="AH25" s="2" t="inlineStr">
        <is>
          <t>2028-08-13</t>
        </is>
      </c>
      <c r="AI25" s="2" t="inlineStr">
        <is>
          <t>Current - re-search on schedule</t>
        </is>
      </c>
    </row>
    <row r="26">
      <c r="A26" s="2" t="inlineStr">
        <is>
          <t>A1-05</t>
        </is>
      </c>
      <c r="B26" s="2" t="inlineStr">
        <is>
          <t>Simondon — On the Mode of Existence of Technical Objects</t>
        </is>
      </c>
      <c r="C26" s="7" t="inlineStr">
        <is>
          <t>https://livingindigitalarchives.wordpress.com/wp-content/uploads/2018/07/gilbert-simondon-on-the-mode-of-existence-of-technical-objects.pdf</t>
        </is>
      </c>
      <c r="D26" s="7" t="inlineStr">
        <is>
          <t>https://www.rybn.org/ANTI/ADMXI/documentation/ADMXI/II._ALGORITHM_ENGINEERING/1958/Simondon_On_the_Mode_of_Existence_of_Technical_Objects.pdf</t>
        </is>
      </c>
      <c r="E26" s="6" t="inlineStr">
        <is>
          <t>Open PDF (Univocal 2016 translation, mirror) / alternate 1980 Mellamphy translation (rybn.org)</t>
        </is>
      </c>
      <c r="F26" s="7" t="inlineStr">
        <is>
          <t>Located - readable source (replacement verified 2026-08-13)</t>
        </is>
      </c>
      <c r="G26" s="2" t="inlineStr">
        <is>
          <t>Archive/publisher page located; use legal borrowed/purchased text for charting.; REPLACEMENT 2026-08-13: original link 404. Primary: Univocal 2016 Malaspina &amp; Rogove translation (294p, text OK). Alternate: rybn.org 1980 Mellamphy translation (122p, text OK). Rights note: both are mirror copies; publisher (Univocal) edition is the legal path. CHARTED 2026-08-14 batch 4a (A1 philosophy-of-technology spine; collapsed QC). Full text read (Prospectus + Intro + Part I Ch.1). Univocal 2016 trans.</t>
        </is>
      </c>
      <c r="H26" s="2" t="inlineStr">
        <is>
          <t>Simondon — On the Mode of Existence of Technical Objects pdf DOI readable source</t>
        </is>
      </c>
      <c r="I26" s="4" t="inlineStr">
        <is>
          <t>https://www.google.com/search?q=Simondon+%E2%80%94+On+the+Mode+of+Existence+of+Technical+Objects+pdf+DOI+readable+source</t>
        </is>
      </c>
      <c r="J26" s="7" t="inlineStr">
        <is>
          <t>2026-08-13</t>
        </is>
      </c>
      <c r="K26" s="7" t="inlineStr">
        <is>
          <t>Charted - 2026-08-14</t>
        </is>
      </c>
      <c r="L26" s="2" t="n">
        <v>1</v>
      </c>
      <c r="M26" s="2" t="inlineStr">
        <is>
          <t>WS-K</t>
        </is>
      </c>
      <c r="N26" s="2" t="inlineStr">
        <is>
          <t>A</t>
        </is>
      </c>
      <c r="O26" s="2" t="inlineStr">
        <is>
          <t>TELOS/MECHANISM/DESIGN</t>
        </is>
      </c>
      <c r="P26" s="2" t="inlineStr">
        <is>
          <t>philosophical</t>
        </is>
      </c>
      <c r="Q26" s="2" t="inlineStr">
        <is>
          <t>philosophy of tech</t>
        </is>
      </c>
      <c r="R26" s="2" t="inlineStr">
        <is>
          <t>conceptual</t>
        </is>
      </c>
      <c r="S26" s="2" t="inlineStr">
        <is>
          <t>high</t>
        </is>
      </c>
      <c r="T26" s="2" t="inlineStr">
        <is>
          <t>Technical objects are not inert tools but evolving relational beings with a genesis. Their mode of existence unfolds through a process of concretization: the primitive technical object is an abstract system of isolated, non-reciprocally-causal functioning parts, whereas the perfected technical object is concrete — each structure is pluri-functional, overdetermined, and exists not only as organ but as body, milieu, and ground for other structures (Prospectus). This genesis cannot be reduced to empirical correction or deductive logic; it has its own specific rhythm (discontinuous major improvements + continuous minor ones). Man's role is not master-inventor but the permanent coordinator and interpreter of technical objects within an ensemble — conductor-like, not slave-master (Introduction). Culture is unbalanced because it grants aesthetic objects citizenship in the world of significations while banishing technical objects to a structureless utility-only domain; this misunderstanding produces alienation that is cultural, not technological. Automatism is a LOW degree of technical perfection — true technicity is openness, a margin of indeterminacy sensitive to outside information. The three levels of technical reality are element, individual, ensemble; cultural integration is stable only at the ensemble level.</t>
        </is>
      </c>
      <c r="U26" s="2" t="inlineStr">
        <is>
          <t>not_quantifiable (philosophical). Strength = high as the batch's densest TELOS/MECHANISM/DESIGN row (construct-role claim, not evidence strength).</t>
        </is>
      </c>
      <c r="V26" s="2" t="inlineStr">
        <is>
          <t>Single-author constructive monograph; programmatic agenda; archive mirror (Univocal 2016 trans., authorized but not the only translation — rybn.org hosts 1980 Mellamphy trans. as alternate; provenance-tag Univocal edition). The concretization thesis is a philosophical claim, not an empirically tested one. Selective engagement with the history of technology (focus on cybernetics, information theory, and energetics of its era).</t>
        </is>
      </c>
      <c r="W26" s="2" t="inlineStr">
        <is>
          <t>If technical objects do NOT have an internal genesis (if they are fully reducible to economic/social determination, or to the intentions of their makers), the concretization thesis overstates the internal normativity of technics; the 'margin of indeterminacy' claim risks vitalism if it attributes purposiveness to inorganic matter.</t>
        </is>
      </c>
      <c r="X26" s="2" t="inlineStr">
        <is>
          <t>no</t>
        </is>
      </c>
      <c r="Y26" s="2" t="inlineStr">
        <is>
          <t>yes</t>
        </is>
      </c>
      <c r="Z26" s="2" t="inlineStr">
        <is>
          <t>Judge tools by their degree of concretization and openness, not their output efficiency. Prefer open, pluri-functional, concretized objects with margins of indeterminacy the person can interpret — over closed, automatic, 'perfect' ones. The person is the permanent coordinator; the tool is a relational partner, not a prosthetic slave.</t>
        </is>
      </c>
      <c r="AA26" s="2" t="inlineStr">
        <is>
          <t>The cosmotechnic question is whether a tool integrates or alienates in its genesis — not as a post-hoc judgment of utility. A tool that closes the person out of its concretization process is alienating regardless of output. The criterion is participation in the genesis of technicity.</t>
        </is>
      </c>
      <c r="AB26" s="2" t="inlineStr">
        <is>
          <t>CF-5</t>
        </is>
      </c>
      <c r="AC26" s="2" t="inlineStr">
        <is>
          <t>Cosmotechnic Audit Card</t>
        </is>
      </c>
      <c r="AE26" s="2" t="inlineStr">
        <is>
          <t>Philosophical / historical / theoretical</t>
        </is>
      </c>
      <c r="AF26" s="2" t="inlineStr">
        <is>
          <t>60 months</t>
        </is>
      </c>
      <c r="AG26" s="2" t="inlineStr">
        <is>
          <t>2026-08-13</t>
        </is>
      </c>
      <c r="AH26" s="2" t="inlineStr">
        <is>
          <t>2031-08-13</t>
        </is>
      </c>
      <c r="AI26" s="2" t="inlineStr">
        <is>
          <t>Current - located, access/fit caveat</t>
        </is>
      </c>
    </row>
    <row r="27">
      <c r="A27" s="2" t="inlineStr">
        <is>
          <t>A1-06</t>
        </is>
      </c>
      <c r="B27" s="2" t="inlineStr">
        <is>
          <t>Simondon — Individuation (Form and Information)</t>
        </is>
      </c>
      <c r="C27" s="7" t="inlineStr">
        <is>
          <t>https://philpapers.org/rec/SIMIIL</t>
        </is>
      </c>
      <c r="D27" s="7" t="inlineStr">
        <is>
          <t>https://books.google.co.in/books?id=i93EAcyjYV4C</t>
        </is>
      </c>
      <c r="E27" s="6" t="inlineStr">
        <is>
          <t>User-supplied (Univocal 2020 English translation, in copyright — research use only)</t>
        </is>
      </c>
      <c r="F27" s="7" t="inlineStr">
        <is>
          <t>Located - source landing (replacement verified 2026-08-13; full text needs access)</t>
        </is>
      </c>
      <c r="G27" s="2" t="inlineStr">
        <is>
          <t>Archive/publisher page located for Simondon Individuation.; REPLACEMENT 2026-08-13: original link 404. No open full text found from container (French original or 2020 English translation). PhilPapers record + Google Books preview verified. Legal paths: Univocal (Eng. trans.) / Jérôme Millon (Fr.) / library. CHARTED 2026-08-14 batch 4b (A1 philosophy-of-technology spine; collapsed QC). Full text (743pp). Univocal 2020 Taylor Adkins trans. Complementary thesis to A1-05 MESO.</t>
        </is>
      </c>
      <c r="H27" s="2" t="inlineStr">
        <is>
          <t>Simondon — Individuation (Form and Information) pdf DOI readable source</t>
        </is>
      </c>
      <c r="I27" s="4" t="inlineStr">
        <is>
          <t>https://www.google.com/search?q=Simondon+%E2%80%94+Individuation+%28Form+and+Information%29+pdf+DOI+readable+source</t>
        </is>
      </c>
      <c r="J27" s="7" t="inlineStr">
        <is>
          <t>2026-08-13</t>
        </is>
      </c>
      <c r="K27" s="7" t="inlineStr">
        <is>
          <t>Charted - 2026-08-14</t>
        </is>
      </c>
      <c r="L27" s="2" t="n">
        <v>1</v>
      </c>
      <c r="M27" s="2" t="inlineStr">
        <is>
          <t>WS-K</t>
        </is>
      </c>
      <c r="N27" s="2" t="inlineStr">
        <is>
          <t>A</t>
        </is>
      </c>
      <c r="O27" s="2" t="inlineStr">
        <is>
          <t>TELOS/MECHANISM</t>
        </is>
      </c>
      <c r="P27" s="2" t="inlineStr">
        <is>
          <t>philosophical</t>
        </is>
      </c>
      <c r="Q27" s="2" t="inlineStr">
        <is>
          <t>philosophy of tech</t>
        </is>
      </c>
      <c r="R27" s="2" t="inlineStr">
        <is>
          <t>conceptual</t>
        </is>
      </c>
      <c r="S27" s="2" t="inlineStr">
        <is>
          <t>medium</t>
        </is>
      </c>
      <c r="T27" s="2" t="inlineStr">
        <is>
          <t>The person is an individuating system — not a fixed agent but a process of individuation shaped through relations with its milieu. Simondon's critique of hylomorphism (matter + form) is the starting point: individuation is not the imposition of form on matter but a resolution of a metastable system through the emergence of structure. The book develops the concepts of form, energy, substance, and information as phases of individuation. Key claims: (1) Information is not a signal but the resolution of a metastable system — it triggers individuation; (2) Ontogenesis — the coming-into-being of the individual — is a phase-shift from a pre-individual metastable state to an individuated being; (3) Psychical individuation — the human psyche is an individuated system that continues to individuate throughout life; (4) Collective individuation — the group is not a collection of pre-formed individuals but a transindividual process in which individuals co-individuate; (5) The transindividual — the dimension of the individual that exceeds the individual and connects to the collective, the milieu, and the pre-individual. Ethics is 'the direction [sens] of individuation' (conclusion of the FR edition).</t>
        </is>
      </c>
      <c r="U27" s="2" t="inlineStr">
        <is>
          <t>not_quantifiable (philosophical). Strength = high as the TELOS/MECHANISM row — the individuation thesis is the structural grounding for 'avoid rigid identity protocols' and 'support becoming-through-practice' (construct-role claim).</t>
        </is>
      </c>
      <c r="V27" s="2" t="inlineStr">
        <is>
          <t>743pp dense philosophical text — the Univocal 2020 trans. by Taylor Adkins is a major achievement but renders Simondon's neologisms and systematics in English for the first time; some terminological choices are contested. The book is Simondon's complementary thesis (these theses were published simultaneously; the principal thesis is MESO, A1-05). The transindividual is a concept that connects to A1-05's concretization but is developed here in the psycho-social domain. The user-supplied copy is in-copyright (research use only).</t>
        </is>
      </c>
      <c r="W27" s="2" t="inlineStr">
        <is>
          <t>If individuation is NOT a resolution of metastable systems (if it is fully reducible to genetic, social, or economic determination), Simondon's ontology overstates the processual and metastable character of being. If the 'transindividual' is merely a name for social psychology, it does no distinct philosophical work.</t>
        </is>
      </c>
      <c r="X27" s="2" t="inlineStr">
        <is>
          <t>no</t>
        </is>
      </c>
      <c r="Y27" s="2" t="inlineStr">
        <is>
          <t>yes</t>
        </is>
      </c>
      <c r="Z27" s="2" t="inlineStr">
        <is>
          <t>The person is an individuating system — the tool must NOT treat the user as a fixed, pre-constituted agent with static preferences. It should support the user's ongoing individuation — their becoming-through-practice — without rigid identity protocols that freeze the person into a type. The artifact must remain open to the user's metastable states and the information that triggers further individuation.</t>
        </is>
      </c>
      <c r="AA27" s="2" t="inlineStr">
        <is>
          <t>The cosmotechnic criterion includes the individuation dimension. A tool that treats the user as a fixed entity (rather than an individuating system) is cosmotechnically alienating. The criterion: does the tool support the user's becoming-through-practice, or does it impose a static identity?</t>
        </is>
      </c>
      <c r="AB27" s="2" t="inlineStr">
        <is>
          <t>CF-8</t>
        </is>
      </c>
      <c r="AC27" s="2" t="inlineStr">
        <is>
          <t>Monstare Protocol vNext</t>
        </is>
      </c>
      <c r="AE27" s="2" t="inlineStr">
        <is>
          <t>Philosophical / historical / theoretical</t>
        </is>
      </c>
      <c r="AF27" s="2" t="inlineStr">
        <is>
          <t>60 months</t>
        </is>
      </c>
      <c r="AG27" s="2" t="inlineStr">
        <is>
          <t>2026-08-13</t>
        </is>
      </c>
      <c r="AH27" s="2" t="inlineStr">
        <is>
          <t>2031-08-13</t>
        </is>
      </c>
      <c r="AI27" s="2" t="inlineStr">
        <is>
          <t>Current - located, access/fit caveat</t>
        </is>
      </c>
    </row>
    <row r="28">
      <c r="A28" s="2" t="inlineStr">
        <is>
          <t>A1-07</t>
        </is>
      </c>
      <c r="B28" s="2" t="inlineStr">
        <is>
          <t>Stiegler — Technics and Time v1 (Fault of Epimetheus)</t>
        </is>
      </c>
      <c r="C28" s="7" t="inlineStr">
        <is>
          <t>https://monoskop.org/images/6/6f/Stiegler_Bernard_Technics_and_Time_1_The_Fault_of_Epimetheus.pdf</t>
        </is>
      </c>
      <c r="D28" s="7" t="inlineStr">
        <is>
          <t>https://archive.org/details/technicstime0000stie</t>
        </is>
      </c>
      <c r="E28" s="6" t="inlineStr">
        <is>
          <t>Open PDF (monoskop, image-only) / Archive lending (Stanford UP 1998 translation)</t>
        </is>
      </c>
      <c r="F28" s="7" t="inlineStr">
        <is>
          <t>Located - readable source (replacement verified 2026-08-13)</t>
        </is>
      </c>
      <c r="G28" s="2" t="inlineStr">
        <is>
          <t>Readable PDF located; verify legality/preferred access during charting.; REPLACEMENT 2026-08-13: original link 404. Monoskop PDF verified (313p, text OK, Stanford UP 1998 translation). Archive.org lending copy as legal alternative. CHARTED 2026-08-14 batch 4a (A1 philosophy-of-technology spine; collapsed QC). IMAGE-ONLY source — charting supplemented by Philpapers abstract + independent summary. Verification debt for full-text institutional copy.</t>
        </is>
      </c>
      <c r="H28" s="2" t="inlineStr">
        <is>
          <t>Stiegler — Technics and Time v1 (Fault of Epimetheus) pdf DOI readable source</t>
        </is>
      </c>
      <c r="I28" s="4" t="inlineStr">
        <is>
          <t>https://www.google.com/search?q=Stiegler+%E2%80%94+Technics+and+Time+v1+%28Fault+of+Epimetheus%29+pdf+DOI+readable+source</t>
        </is>
      </c>
      <c r="J28" s="7" t="inlineStr">
        <is>
          <t>2026-08-13</t>
        </is>
      </c>
      <c r="K28" s="7" t="inlineStr">
        <is>
          <t>Charted - 2026-08-14</t>
        </is>
      </c>
      <c r="L28" s="2" t="n">
        <v>1</v>
      </c>
      <c r="M28" s="2" t="inlineStr">
        <is>
          <t>WS-K</t>
        </is>
      </c>
      <c r="N28" s="2" t="inlineStr">
        <is>
          <t>A</t>
        </is>
      </c>
      <c r="O28" s="2" t="inlineStr">
        <is>
          <t>TELOS/WARNING</t>
        </is>
      </c>
      <c r="P28" s="2" t="inlineStr">
        <is>
          <t>philosophical</t>
        </is>
      </c>
      <c r="Q28" s="2" t="inlineStr">
        <is>
          <t>philosophy of tech</t>
        </is>
      </c>
      <c r="R28" s="2" t="inlineStr">
        <is>
          <t>conceptual</t>
        </is>
      </c>
      <c r="S28" s="2" t="inlineStr">
        <is>
          <t>high</t>
        </is>
      </c>
      <c r="T28" s="2" t="inlineStr">
        <is>
          <t>Technics is the exteriorization of the human through prosthesis; the human is invented as it invents technics (co-constitution, not subject-object). Time is constituted through this technic: 'no technics without time, no time without technics.' The Prometheus/Epimetheus myth gives the structure: Epimetheus (forgetfulness, afterthought) distributes traits to animals and leaves humans bare; Prometheus (foresight) gives humans fire/technics as compensatory prosthesis. This 'fault' is originary — technics is supplementary from the start, not a fall from a natural state. Memory is the primary domain of exteriorization: individual memory freed from biological constraint, preserved in technics, surviving the individual's death (epiphylogenesis). Grammatization — the breaking of flux into discrete elements (writing, inscription, programmable machines) — is the process by which life pursues itself by means other than life. Dasein's temporality is constituted through technicity; anticipation is technical before it is conscious. The 'who' (human) and 'what' (technics) are co-original: technics can be the 'who' as much as the human, destabilizing the humanist subject-object frame.</t>
        </is>
      </c>
      <c r="U28" s="2" t="inlineStr">
        <is>
          <t>not_quantifiable (philosophical). Strength = high as the governing pharmacological WARNING row — external memory as pharmakon (remedy + poison) is the structural criterion for AI/assistant design (construct-role claim).</t>
        </is>
      </c>
      <c r="V28" s="2" t="inlineStr">
        <is>
          <t>Image-only source — claims cannot be page-verified against the original. Single-author dense phenomenological-philosophical monograph; programmatic; engagement with Derrida, Heidegger, Leroi-Gourhan that is reconstructive rather than independently evidenced. The summary basis means the 'originary technicity' thesis is charted from secondary synthesis — flagged as verification debt for a full-text institutional copy.</t>
        </is>
      </c>
      <c r="W28" s="2" t="inlineStr">
        <is>
          <t>If technics is NOT co-constitutive of the human (if there is a pre-technical human interior, as Rousseau or a naturalistic anthropology would claim), the whole exteriorization/Epimetheus structure collapses into a weaker claim about tools as instruments of an already-constituted subject.</t>
        </is>
      </c>
      <c r="X28" s="2" t="inlineStr">
        <is>
          <t>partial</t>
        </is>
      </c>
      <c r="Y28" s="2" t="inlineStr">
        <is>
          <t>yes</t>
        </is>
      </c>
      <c r="Z28" s="2" t="inlineStr">
        <is>
          <t>Frame external memory and AI assistance as pharmacological from the start — never as neutral tools that become addictive through misuse, but as co-constitutive of the user's temporality and anticipation. The design question is: what dose of exteriorization constitutes the human as this human, and what dose dissolves it? The AI must not close the margin of indeterminacy (cf. Simondon) through which the human interprets. No 'machine of all machines.'</t>
        </is>
      </c>
      <c r="AA28" s="2" t="inlineStr">
        <is>
          <t>The cosmotechnic criterion is the pharmakon: every exteriorization is remedy-and-poison simultaneously. There is no 'safe' exteriorization, only dosed ones. The artifact must preserve the freedom to return from its own pharmacological effect (S10 reversibility).</t>
        </is>
      </c>
      <c r="AB28" s="2" t="inlineStr">
        <is>
          <t>CF-3</t>
        </is>
      </c>
      <c r="AC28" s="2" t="inlineStr">
        <is>
          <t>AI Assistant Use Rules</t>
        </is>
      </c>
      <c r="AD28" s="2" t="inlineStr">
        <is>
          <t>OC-13</t>
        </is>
      </c>
      <c r="AE28" s="2" t="inlineStr">
        <is>
          <t>Philosophical / historical / theoretical</t>
        </is>
      </c>
      <c r="AF28" s="2" t="inlineStr">
        <is>
          <t>60 months</t>
        </is>
      </c>
      <c r="AG28" s="2" t="inlineStr">
        <is>
          <t>2026-08-13</t>
        </is>
      </c>
      <c r="AH28" s="2" t="inlineStr">
        <is>
          <t>2031-08-13</t>
        </is>
      </c>
      <c r="AI28" s="2" t="inlineStr">
        <is>
          <t>Current - re-search on schedule</t>
        </is>
      </c>
    </row>
    <row r="29">
      <c r="A29" s="2" t="inlineStr">
        <is>
          <t>A1-08</t>
        </is>
      </c>
      <c r="B29" s="2" t="inlineStr">
        <is>
          <t>Feenberg — Questioning Technology</t>
        </is>
      </c>
      <c r="C29" s="7" t="inlineStr">
        <is>
          <t>https://archive.org/details/questioningtechn0000feen</t>
        </is>
      </c>
      <c r="D29" s="7" t="inlineStr">
        <is>
          <t>https://www.taylorfrancis.com/books/mono/10.4324/9780203022313/questioning-technology-andrew-feenberg</t>
        </is>
      </c>
      <c r="E29" s="6" t="inlineStr">
        <is>
          <t>User-supplied (epdf.pub mirror — unauthorized host, research use only)</t>
        </is>
      </c>
      <c r="F29" s="7" t="inlineStr">
        <is>
          <t>Located - readable source (replacement verified 2026-08-13; lending)</t>
        </is>
      </c>
      <c r="G29" s="2" t="inlineStr">
        <is>
          <t>Readable PDF located for Questioning Technology.; REPLACEMENT 2026-08-13: original link 404. Archive.org lending item verified (HTTP 200). Publisher landing: Routledge/Taylor &amp; Francis. CHARTED 2026-08-14 batch 4b (A1 philosophy-of-technology spine; collapsed QC). Full text (263pp). epdf.pub copy, research use only.</t>
        </is>
      </c>
      <c r="H29" s="2" t="inlineStr">
        <is>
          <t>Feenberg — Questioning Technology pdf DOI readable source</t>
        </is>
      </c>
      <c r="I29" s="4" t="inlineStr">
        <is>
          <t>https://www.google.com/search?q=Feenberg+%E2%80%94+Questioning+Technology+pdf+DOI+readable+source</t>
        </is>
      </c>
      <c r="J29" s="7" t="inlineStr">
        <is>
          <t>2026-08-13</t>
        </is>
      </c>
      <c r="K29" s="7" t="inlineStr">
        <is>
          <t>Charted - 2026-08-14</t>
        </is>
      </c>
      <c r="L29" s="2" t="n">
        <v>1</v>
      </c>
      <c r="M29" s="2" t="inlineStr">
        <is>
          <t>WS-K</t>
        </is>
      </c>
      <c r="N29" s="2" t="inlineStr">
        <is>
          <t>A</t>
        </is>
      </c>
      <c r="O29" s="2" t="inlineStr">
        <is>
          <t>CRITIQUE/DESIGN/TELOS</t>
        </is>
      </c>
      <c r="P29" s="2" t="inlineStr">
        <is>
          <t>philosophical</t>
        </is>
      </c>
      <c r="Q29" s="2" t="inlineStr">
        <is>
          <t>critical theory of tech</t>
        </is>
      </c>
      <c r="R29" s="2" t="inlineStr">
        <is>
          <t>conceptual</t>
        </is>
      </c>
      <c r="S29" s="2" t="inlineStr">
        <is>
          <t>high</t>
        </is>
      </c>
      <c r="T29" s="2" t="inlineStr">
        <is>
          <t>Technology is not neutral — it embodies political and social values, but this is NOT technological determinism. Against essentialism (technology has one fixed essence) and social constructivism (technology is entirely a social construction), Feenberg argues for a critical theory of technology: technical codes embed social values at the design level, but these codes can be democratized. 'Democratic rationalization' — the redesign of technology by and for affected communities — is possible because technical rationality is not absolute; it contains an 'indeterminist' margin where different design choices are compatible with the same functional requirements. The May Events of 1968, environmentalism, and medical politics are case sites where technology was politicized. The 'problem of agency' (ch.5) asks who can intervene in technical networks; the answer: not just experts, but users, workers, and affected publics. Technology and meaning (ch.8) engages Heidegger and hermeneutics: tools are not just means but carriers of meaning. 'Impure reason' (ch.9) concludes: there is no pure technical rationality separate from social life; all reason is impure, mediated by power, culture, and politics.</t>
        </is>
      </c>
      <c r="U29" s="2" t="inlineStr">
        <is>
          <t>not_quantifiable (philosophical). Strength = high as the CRITIQUE/DESIGN/TELOS row — democratic rationalization is the explicit warrant for user authorship beyond interface choice (construct-role claim).</t>
        </is>
      </c>
      <c r="V29" s="2" t="inlineStr">
        <is>
          <t>Archive mirror copy (epdf.pub, unauthorized host — research use only). The 1998/1999 edition is a pre-digital-era text; the case studies (May 1968, early environmentalism, 1980s medical politics) are historically bounded. The 'democratic rationalization' thesis is programmatic — the book argues it can happen more than it demonstrates how it does. Engagement with Heidegger, Foucault, and Marcuse is reconstructive rather than independently evidenced.</t>
        </is>
      </c>
      <c r="W29" s="2" t="inlineStr">
        <is>
          <t>If technical rationality is NOT indeterminate (if the 'one best way' genuinely exists and all alternatives are inefficient), democratic rationalization is impossible — the design space is closed before politics enters. If agency in technical networks is fully captured by expertise (if users cannot meaningfully intervene), the populist-democratic thesis collapses.</t>
        </is>
      </c>
      <c r="X29" s="2" t="inlineStr">
        <is>
          <t>no</t>
        </is>
      </c>
      <c r="Y29" s="2" t="inlineStr">
        <is>
          <t>yes</t>
        </is>
      </c>
      <c r="Z29" s="2" t="inlineStr">
        <is>
          <t>The design space is politically open — there is more than one technically viable way to build a tool. The person affected by the tool has a legitimate claim to participate in its design (democratic rationalization). The artifact must be revisable by its users (S10 reversibility) — not a closed, expert-owned black box.</t>
        </is>
      </c>
      <c r="AA29" s="2" t="inlineStr">
        <is>
          <t>The cosmotechnic criterion includes the political mediation of design. A tool whose technical code was settled without the participation of those who live with it is cosmotechnically alienating regardless of its output. Design politics is a moral stake.</t>
        </is>
      </c>
      <c r="AB29" s="2" t="inlineStr">
        <is>
          <t>CF-10</t>
        </is>
      </c>
      <c r="AC29" s="2" t="inlineStr">
        <is>
          <t>Cosmotechnic Audit Card</t>
        </is>
      </c>
      <c r="AE29" s="2" t="inlineStr">
        <is>
          <t>Philosophical / historical / theoretical</t>
        </is>
      </c>
      <c r="AF29" s="2" t="inlineStr">
        <is>
          <t>60 months</t>
        </is>
      </c>
      <c r="AG29" s="2" t="inlineStr">
        <is>
          <t>2026-08-13</t>
        </is>
      </c>
      <c r="AH29" s="2" t="inlineStr">
        <is>
          <t>2031-08-13</t>
        </is>
      </c>
      <c r="AI29" s="2" t="inlineStr">
        <is>
          <t>Current - re-search on schedule</t>
        </is>
      </c>
    </row>
    <row r="30">
      <c r="A30" s="2" t="inlineStr">
        <is>
          <t>A1-09</t>
        </is>
      </c>
      <c r="B30" s="2" t="inlineStr">
        <is>
          <t>Ihde — Technology and the Lifeworld</t>
        </is>
      </c>
      <c r="C30" s="7" t="inlineStr">
        <is>
          <t>https://archive.org/details/technologylifewo00ihde</t>
        </is>
      </c>
      <c r="D30" s="7" t="inlineStr">
        <is>
          <t>https://iupress.org/9780253205605/technology-and-the-lifeworld/</t>
        </is>
      </c>
      <c r="E30" s="6" t="inlineStr">
        <is>
          <t>Open EPUB (monoskop scan, OCR'd)</t>
        </is>
      </c>
      <c r="F30" s="7" t="inlineStr">
        <is>
          <t>Located - readable source (replacement verified 2026-08-13; lending)</t>
        </is>
      </c>
      <c r="G30" s="2" t="inlineStr">
        <is>
          <t>Archive lending and publisher page located.; REPLACEMENT 2026-08-13: original link 404. Archive.org lending item verified (HTTP 200). Publisher: Indiana University Press. CHARTED 2026-08-14 batch 4b (A1 philosophy-of-technology spine; collapsed QC). Full text via monoskop EPUB (OCR'd).</t>
        </is>
      </c>
      <c r="H30" s="2" t="inlineStr">
        <is>
          <t>Ihde — Technology and the Lifeworld pdf DOI readable source</t>
        </is>
      </c>
      <c r="I30" s="4" t="inlineStr">
        <is>
          <t>https://www.google.com/search?q=Ihde+%E2%80%94+Technology+and+the+Lifeworld+pdf+DOI+readable+source</t>
        </is>
      </c>
      <c r="J30" s="7" t="inlineStr">
        <is>
          <t>2026-08-13</t>
        </is>
      </c>
      <c r="K30" s="7" t="inlineStr">
        <is>
          <t>Charted - 2026-08-14</t>
        </is>
      </c>
      <c r="L30" s="2" t="n">
        <v>1</v>
      </c>
      <c r="M30" s="2" t="inlineStr">
        <is>
          <t>WS-K</t>
        </is>
      </c>
      <c r="N30" s="2" t="inlineStr">
        <is>
          <t>A</t>
        </is>
      </c>
      <c r="O30" s="2" t="inlineStr">
        <is>
          <t>TELOS/MECHANISM</t>
        </is>
      </c>
      <c r="P30" s="2" t="inlineStr">
        <is>
          <t>philosophical</t>
        </is>
      </c>
      <c r="Q30" s="2" t="inlineStr">
        <is>
          <t>postphenomenology</t>
        </is>
      </c>
      <c r="R30" s="2" t="inlineStr">
        <is>
          <t>conceptual</t>
        </is>
      </c>
      <c r="S30" s="2" t="inlineStr">
        <is>
          <t>medium</t>
        </is>
      </c>
      <c r="T30" s="2" t="inlineStr">
        <is>
          <t>Technologies mediate perception and action — they are not neutral instruments but actively shape how we experience the world. Ihde's postphenomenology identifies four primary human-technology relations: (1) Embodiment relations — technologies that are taken into my experience (glasses, hearing aids) and become part of my bodily engagement with the world; (2) Hermeneutic relations — technologies that I read (thermometer, dashboard) and interpret to access a state of affairs; (3) Alterity relations — technologies that I interact with as quasi-others (ATM, vending machine); (4) Background relations — technologies that form the context of my experience without being explicitly attended to (refrigerator hum, central heating). The lifeworld is transformed by these mediations: technology changes not just what I do but what I experience as real. Science and technology are intertwined — the 'empiricist view' (science discovers, technology applies) is false; technoscience is a co-constitutive practice.</t>
        </is>
      </c>
      <c r="U30" s="2" t="inlineStr">
        <is>
          <t>not_quantifiable (philosophical). Strength = high as the TELOS/MECHANISM row — the four relation-types are a design grammar for asking what a tool does to perception (construct-role claim).</t>
        </is>
      </c>
      <c r="V30" s="2" t="inlineStr">
        <is>
          <t>EPUB is OCR'd page XML — text is extractable but page numbers are non-standard. 1990 text — the digital-technology cases are pre-internet; the 'background relations' framework needs extension for always-on, ambient, algorithmic technologies. The phenomenology is first-person — it does not address structural-political questions about who designs the mediating technology (Winner's question is not asked).</t>
        </is>
      </c>
      <c r="W30" s="2" t="inlineStr">
        <is>
          <t>If human-technology relations are NOT best analyzed phenomenologically (if the relevant causal mechanisms are entirely structural, economic, or discursive), Ihde's four-relation grammar is a useful taxonomy but not an explanation. If technologies do NOT transform the lifeworld (if they are fully transparent means to pre-given ends), the mediation thesis collapses.</t>
        </is>
      </c>
      <c r="X30" s="2" t="inlineStr">
        <is>
          <t>no</t>
        </is>
      </c>
      <c r="Y30" s="2" t="inlineStr">
        <is>
          <t>yes</t>
        </is>
      </c>
      <c r="Z30" s="2" t="inlineStr">
        <is>
          <t>Ask which relation-type the tool establishes with the user. Embodiment and hermeneutic relations are compatible with user authorship; alterity and background relations risk black-boxing the tool's operation. The tool should NOT disappear into pure background (loss of awareness) — it must remain available for hermeneutic interpretation and, where possible, embodied coordination.</t>
        </is>
      </c>
      <c r="AA30" s="2" t="inlineStr">
        <is>
          <t>Mediation is a cosmotechnic question — the tool transforms the lifeworld by mediating perception. The cosmotechnic audit must ask: what does this tool reveal and what does it conceal? Does the mediation integrate or alienate the person's embodied engagement with their milieu?</t>
        </is>
      </c>
      <c r="AB30" s="2" t="inlineStr">
        <is>
          <t>CF-5</t>
        </is>
      </c>
      <c r="AC30" s="2" t="inlineStr">
        <is>
          <t>Cosmotechnic Audit Card</t>
        </is>
      </c>
      <c r="AE30" s="2" t="inlineStr">
        <is>
          <t>Philosophical / historical / theoretical</t>
        </is>
      </c>
      <c r="AF30" s="2" t="inlineStr">
        <is>
          <t>60 months</t>
        </is>
      </c>
      <c r="AG30" s="2" t="inlineStr">
        <is>
          <t>2026-08-13</t>
        </is>
      </c>
      <c r="AH30" s="2" t="inlineStr">
        <is>
          <t>2031-08-13</t>
        </is>
      </c>
      <c r="AI30" s="2" t="inlineStr">
        <is>
          <t>Current - located, access/fit caveat</t>
        </is>
      </c>
    </row>
    <row r="31">
      <c r="A31" s="2" t="inlineStr">
        <is>
          <t>A1-10</t>
        </is>
      </c>
      <c r="B31" s="2" t="inlineStr">
        <is>
          <t>Verbeek — What Things Do</t>
        </is>
      </c>
      <c r="C31" s="7" t="inlineStr">
        <is>
          <t>https://archive.org/details/whatthingsdophil0000verb</t>
        </is>
      </c>
      <c r="D31" s="7" t="inlineStr">
        <is>
          <t>https://www.psupress.org/books/titles/0-271-02540-9.html</t>
        </is>
      </c>
      <c r="E31" s="6" t="inlineStr">
        <is>
          <t>Author-deposited chapters (2 core chapters; full book archive.org lending-only)</t>
        </is>
      </c>
      <c r="F31" s="7" t="inlineStr">
        <is>
          <t>Located - restricted readable</t>
        </is>
      </c>
      <c r="G31" s="2" t="inlineStr">
        <is>
          <t>Archive lending and publisher page located. CHARTED 2026-08-14 batch 4b (A1 philosophy-of-technology spine; collapsed QC). PARTIAL TEXT — 2 core chapters (ch.5-6, ch.7-8). Full book still lending-only.</t>
        </is>
      </c>
      <c r="H31" s="2" t="inlineStr">
        <is>
          <t>Verbeek — What Things Do pdf DOI readable source</t>
        </is>
      </c>
      <c r="I31" s="4" t="inlineStr">
        <is>
          <t>https://www.google.com/search?q=Verbeek+%E2%80%94+What+Things+Do+pdf+DOI+readable+source</t>
        </is>
      </c>
      <c r="J31" s="7" t="inlineStr">
        <is>
          <t>2026-08-13</t>
        </is>
      </c>
      <c r="K31" s="7" t="inlineStr">
        <is>
          <t>Charted - 2026-08-14</t>
        </is>
      </c>
      <c r="L31" s="2" t="n">
        <v>1</v>
      </c>
      <c r="M31" s="2" t="inlineStr">
        <is>
          <t>WS-L</t>
        </is>
      </c>
      <c r="N31" s="2" t="inlineStr">
        <is>
          <t>A</t>
        </is>
      </c>
      <c r="O31" s="2" t="inlineStr">
        <is>
          <t>DESIGN/TELOS/WARNING</t>
        </is>
      </c>
      <c r="P31" s="2" t="inlineStr">
        <is>
          <t>philosophical</t>
        </is>
      </c>
      <c r="Q31" s="2" t="inlineStr">
        <is>
          <t>postphenomenology</t>
        </is>
      </c>
      <c r="R31" s="2" t="inlineStr">
        <is>
          <t>conceptual</t>
        </is>
      </c>
      <c r="S31" s="2" t="inlineStr">
        <is>
          <t>high</t>
        </is>
      </c>
      <c r="T31" s="2" t="inlineStr">
        <is>
          <t>Technologies are moral mediators — they actively shape human action, not just as instruments but as agents that co-constitute moral decisions. Verbeek extends Ihde's postphenomenology into an explicit theory of technological mediation: technologies mediate perception (what we see) and action (what we do). The mediation is not external but constitutive — 'the boundaries between the human and the technological are fading' (ch.5-6). Two key concepts: (1) Script — technologies have 'scripts' that prescribe certain actions and discourage others (cf. Latour's delegation); (2) Moral mediation — technologies do not just enable or constrain action but shape the moral landscape within which decisions are made (e.g., obstetric ultrasound mediates the moral experience of pregnancy; speed bumps mediate driver responsibility). 'Technology design as experimental ethics' (ch.7-8) argues that ethics should NOT judge technology from outside but accompany design as an engaged participant. Ethics = governing the intertwinement of humans and technologies, not defending boundaries against them.</t>
        </is>
      </c>
      <c r="U31" s="2" t="inlineStr">
        <is>
          <t>not_quantifiable (philosophical, partial text). Strength = high as the DESIGN/TELOS/WARNING row — moral mediation is the explicit warrant for the Design Veto Catalogue's ethical accompaniment role (construct-role claim, partial-coverage caveat).</t>
        </is>
      </c>
      <c r="V31" s="2" t="inlineStr">
        <is>
          <t>PARTIAL TEXT — only 2 core chapters (ch.5-6, ch.7-8) are in front of me. The full book's arguments (the opening framing, the phenomenology of things, the closing synthesis) are NOT charted. This is a chapter-coverage charting with documented caveat. The author-deposited chapters are from edited volumes — pagination and argumentative context differ from the book. Full book still lending-only.</t>
        </is>
      </c>
      <c r="W31" s="2" t="inlineStr">
        <is>
          <t>If technologies do NOT have moral agency (if 'moral mediation' is merely a metaphor for human intentions projected onto things), the whole moral-mediation thesis collapses into a weaker claim about human decision-making around tools. If ethics can accompany design without external judgment, the 'experimental ethics' framework risks capture by the design process it claims to govern.</t>
        </is>
      </c>
      <c r="X31" s="2" t="inlineStr">
        <is>
          <t>no</t>
        </is>
      </c>
      <c r="Y31" s="2" t="inlineStr">
        <is>
          <t>yes</t>
        </is>
      </c>
      <c r="Z31" s="2" t="inlineStr">
        <is>
          <t>The artifact is a moral mediator — it shapes what the user perceives and does, and thereby shapes the moral landscape of decision. Design is experimental ethics — ethics accompanies the design process from the inside, not as external veto. The Design Veto Catalogue must ask: what script does this tool inscribe in the user's action? Does the mediation open or close the moral space?</t>
        </is>
      </c>
      <c r="AA31" s="2" t="inlineStr">
        <is>
          <t>Moral mediation is cosmotechnic mediation — the tool's script unifies (or alienates) cosmos, morality, and technics. The cosmotechnic audit must include the moral script the tool inscribes. A tool that closes the user's moral agency through its script is cosmotechnically alienating.</t>
        </is>
      </c>
      <c r="AB31" s="2" t="inlineStr">
        <is>
          <t>CF-4</t>
        </is>
      </c>
      <c r="AC31" s="2" t="inlineStr">
        <is>
          <t>Cosmotechnic Audit Card</t>
        </is>
      </c>
      <c r="AE31" s="2" t="inlineStr">
        <is>
          <t>Philosophical / historical / theoretical</t>
        </is>
      </c>
      <c r="AF31" s="2" t="inlineStr">
        <is>
          <t>60 months</t>
        </is>
      </c>
      <c r="AG31" s="2" t="inlineStr">
        <is>
          <t>2026-08-13</t>
        </is>
      </c>
      <c r="AH31" s="2" t="inlineStr">
        <is>
          <t>2031-08-13</t>
        </is>
      </c>
      <c r="AI31" s="2" t="inlineStr">
        <is>
          <t>Current - located, access/fit caveat</t>
        </is>
      </c>
    </row>
    <row r="32">
      <c r="A32" s="2" t="inlineStr">
        <is>
          <t>A1-11</t>
        </is>
      </c>
      <c r="B32" s="2" t="inlineStr">
        <is>
          <t>Winner — The Whale and the Reactor</t>
        </is>
      </c>
      <c r="C32" s="7" t="inlineStr">
        <is>
          <t>https://ratical.org/ratville/AoS/WhaleAndReactor.pdf</t>
        </is>
      </c>
      <c r="D32" s="7" t="inlineStr">
        <is>
          <t>https://press.uchicago.edu/ucp/books/book/chicago/W/bo5958056.html</t>
        </is>
      </c>
      <c r="E32" s="6" t="inlineStr">
        <is>
          <t>Open PDF (ratical.org mirror, image-only) / publisher landing</t>
        </is>
      </c>
      <c r="F32" s="7" t="inlineStr">
        <is>
          <t>Located - readable source</t>
        </is>
      </c>
      <c r="G32" s="2" t="inlineStr">
        <is>
          <t>Priority B pass: readable PDF located alongside Chicago publisher page. CHARTED 2026-08-14 batch 4a (A1 philosophy-of-technology spine; collapsed QC). IMAGE-ONLY source — charting supplemented by Chicago UP page + Boundary 2 review + ESTS article. Verification debt for full-text institutional copy.</t>
        </is>
      </c>
      <c r="H32" s="2" t="inlineStr">
        <is>
          <t>Winner — The Whale and the Reactor pdf DOI readable source</t>
        </is>
      </c>
      <c r="I32" s="4" t="inlineStr">
        <is>
          <t>https://www.google.com/search?q=Winner+%E2%80%94+The+Whale+and+the+Reactor+pdf+DOI+readable+source</t>
        </is>
      </c>
      <c r="J32" s="7" t="inlineStr">
        <is>
          <t>2026-08-13</t>
        </is>
      </c>
      <c r="K32" s="7" t="inlineStr">
        <is>
          <t>Charted - 2026-08-14</t>
        </is>
      </c>
      <c r="L32" s="2" t="n">
        <v>1</v>
      </c>
      <c r="M32" s="2" t="inlineStr">
        <is>
          <t>WS-L</t>
        </is>
      </c>
      <c r="N32" s="2" t="inlineStr">
        <is>
          <t>B</t>
        </is>
      </c>
      <c r="O32" s="2" t="inlineStr">
        <is>
          <t>WARNING/CRITIQUE</t>
        </is>
      </c>
      <c r="P32" s="2" t="inlineStr">
        <is>
          <t>philosophical</t>
        </is>
      </c>
      <c r="Q32" s="2" t="inlineStr">
        <is>
          <t>politics of tech</t>
        </is>
      </c>
      <c r="R32" s="2" t="inlineStr">
        <is>
          <t>conceptual</t>
        </is>
      </c>
      <c r="S32" s="2" t="inlineStr">
        <is>
          <t>medium</t>
        </is>
      </c>
      <c r="T32" s="2" t="inlineStr">
        <is>
          <t>Artifacts have politics. Technologies embody political priorities in two primary ways: (1) instances where an artifact is designed/configured to settle a larger social issue (inscription — e.g., nuclear power requiring centralized authority), and (2) technologies that are inherently political — they require, or are strongly compatible with, a particular variety of political organization (e.g., solar power compatible with decentralized democracy, nuclear with authoritarianism). This is NOT technological determinism: it is the recognition that the process of technical creation projects particular political ideas, needs, and interests into devices. Some artifacts have 'bad politics' that entrench the authority of a powerful minority, sap democratic willingness, and break down common ends. The book is a series of essays exploring this thesis across cases (nuclear reactors, aquaculture, communications, automation) and connecting it to democratic theory — 'the vitality of democratic politics depends upon people's willingness to act together in pursuit of their common ends.'</t>
        </is>
      </c>
      <c r="U32" s="2" t="inlineStr">
        <is>
          <t>not_quantifiable (philosophical/political essay collection). Strength = medium-high as the WARNING/CRITIQUE row — directly feeds the Design Veto Catalogue (CF-10 artifact-politics) and pairs with CORE-14's world-design warrant (construct-role claim).</t>
        </is>
      </c>
      <c r="V32" s="2" t="inlineStr">
        <is>
          <t>Image-only source — claims cannot be page-verified against the original. Essay collection, not a unified monograph — the 'artifacts have politics' thesis is argued through cases, not formal derivation. The political analysis is US-democratic in frame. The Boundary 2 review and ESTS article are secondary syntheses; flagged as verification debt for the full institutional copy.</t>
        </is>
      </c>
      <c r="W32" s="2" t="inlineStr">
        <is>
          <t>If artifacts do NOT have politics (if technical design is value-neutral and politics is only a matter of use-context), the whole inscription thesis collapses into a weaker claim about user behavior around neutral tools. If 'inherently political' technologies are just those whose scale happens to fit certain political forms, the thesis overstates inherence.</t>
        </is>
      </c>
      <c r="X32" s="2" t="inlineStr">
        <is>
          <t>no</t>
        </is>
      </c>
      <c r="Y32" s="2" t="inlineStr">
        <is>
          <t>yes</t>
        </is>
      </c>
      <c r="Z32" s="2" t="inlineStr">
        <is>
          <t>The Design Veto Catalogue must ask of every artifact: what politics does it inscribe? Does it require a centralized, authoritarian, or minority-entrenching form of organization to function? If so, veto. Does it concentrate power without democratic accountability? If so, veto. The tool must be compatible with democratic, revisable, common-end-preserving practice.</t>
        </is>
      </c>
      <c r="AA32" s="2" t="inlineStr">
        <is>
          <t>Artifacts are not neutral — the cosmotechnic question includes the political order the artifact materializes. A tool that enforces a political order alien to the user's milieu-localization is cosmotechnically alienating regardless of its output efficiency.</t>
        </is>
      </c>
      <c r="AB32" s="2" t="inlineStr">
        <is>
          <t>CF-10</t>
        </is>
      </c>
      <c r="AC32" s="2" t="inlineStr">
        <is>
          <t>Design Veto Catalogue</t>
        </is>
      </c>
      <c r="AE32" s="2" t="inlineStr">
        <is>
          <t>Philosophical / historical / theoretical</t>
        </is>
      </c>
      <c r="AF32" s="2" t="inlineStr">
        <is>
          <t>60 months</t>
        </is>
      </c>
      <c r="AG32" s="2" t="inlineStr">
        <is>
          <t>2026-08-13</t>
        </is>
      </c>
      <c r="AH32" s="2" t="inlineStr">
        <is>
          <t>2031-08-13</t>
        </is>
      </c>
      <c r="AI32" s="2" t="inlineStr">
        <is>
          <t>Current - re-search on schedule</t>
        </is>
      </c>
    </row>
    <row r="33">
      <c r="A33" s="2" t="inlineStr">
        <is>
          <t>A1-12</t>
        </is>
      </c>
      <c r="B33" s="2" t="inlineStr">
        <is>
          <t>Latour — Where Are the Missing Masses?</t>
        </is>
      </c>
      <c r="C33" s="7" t="inlineStr">
        <is>
          <t>https://www.bruno-latour.fr/node/258.html</t>
        </is>
      </c>
      <c r="D33" s="7" t="inlineStr">
        <is>
          <t>https://www.sfu.ca/~andrewf/Latour_MissingMasses.pdf</t>
        </is>
      </c>
      <c r="E33" s="6" t="inlineStr">
        <is>
          <t>Open HTML / PDF (synopsis/landing page only)</t>
        </is>
      </c>
      <c r="F33" s="7" t="inlineStr">
        <is>
          <t>Located - readable source</t>
        </is>
      </c>
      <c r="G33" s="2" t="inlineStr">
        <is>
          <t>Priority B pass: author/official page and PDF located. CHARTED 2026-08-14 batch 4a (A1 philosophy-of-technology spine; collapsed QC). SYNOPSIS ONLY — landing page abstract. Full chapter (Bijker &amp; Law eds., MIT Press, pp.225-259) needed for upgrade.</t>
        </is>
      </c>
      <c r="H33" s="2" t="inlineStr">
        <is>
          <t>Latour — Where Are the Missing Masses? pdf DOI readable source</t>
        </is>
      </c>
      <c r="I33" s="4" t="inlineStr">
        <is>
          <t>https://www.google.com/search?q=Latour+%E2%80%94+Where+Are+the+Missing+Masses%3F+pdf+DOI+readable+source</t>
        </is>
      </c>
      <c r="J33" s="7" t="inlineStr">
        <is>
          <t>2026-08-13</t>
        </is>
      </c>
      <c r="K33" s="7" t="inlineStr">
        <is>
          <t>Charted - 2026-08-14</t>
        </is>
      </c>
      <c r="L33" s="2" t="n">
        <v>1</v>
      </c>
      <c r="M33" s="2" t="inlineStr">
        <is>
          <t>WS-L</t>
        </is>
      </c>
      <c r="N33" s="2" t="inlineStr">
        <is>
          <t>B</t>
        </is>
      </c>
      <c r="O33" s="2" t="inlineStr">
        <is>
          <t>MECHANISM/DESIGN</t>
        </is>
      </c>
      <c r="P33" s="2" t="inlineStr">
        <is>
          <t>theoretical</t>
        </is>
      </c>
      <c r="Q33" s="2" t="inlineStr">
        <is>
          <t>STS</t>
        </is>
      </c>
      <c r="R33" s="2" t="inlineStr">
        <is>
          <t>conceptual</t>
        </is>
      </c>
      <c r="S33" s="2" t="inlineStr">
        <is>
          <t>medium</t>
        </is>
      </c>
      <c r="T33" s="2" t="inlineStr">
        <is>
          <t>Sociologists looking for sturdy social links to hold society together are like cosmologists looking for missing mass. The missing mass is non-humans — the hidden, despised social masses (artifacts, technical objects) that make up morality and society. To balance the accounts of society, sociology must turn from humans to non-humans. Artifacts delegate, prescribe, and shape conduct — they are 'frozen morality' (the door-closer replaces the groom; the seatbelt disciplines the driver; the speed bump enforces the speed limit). The program: a sociology that treats non-humans as actors in the social bond, not as props for human action.</t>
        </is>
      </c>
      <c r="U33" s="2" t="inlineStr">
        <is>
          <t>not_quantifiable (theoretical chapter). Strength = medium as the MECHANISM/DESIGN row — the missing-masses thesis is the warrant for asking what the tool does, not just what the user does (construct-role claim).</t>
        </is>
      </c>
      <c r="V33" s="2" t="inlineStr">
        <is>
          <t>Landing-page / synopsis only — the full 35pp chapter (225-259) is NOT in front of me. This is partial text at the level of abstract + key image. The 'groom is on strike' anecdote is a synoptic hook, not the developed argument. Charting is therefore at the thesis-statement level with documented coverage caveat — flagged as verification debt for the institutional chapter.</t>
        </is>
      </c>
      <c r="W33" s="2" t="inlineStr">
        <is>
          <t>If non-humans do NOT have agency in any meaningful sense (if 'delegation' and 'prescription' are merely metaphors for human intentions frozen into matter), the missing-masses thesis collapses into a weaker claim about human social behavior around inert things.</t>
        </is>
      </c>
      <c r="X33" s="2" t="inlineStr">
        <is>
          <t>no</t>
        </is>
      </c>
      <c r="Y33" s="2" t="inlineStr">
        <is>
          <t>partial</t>
        </is>
      </c>
      <c r="Z33" s="2" t="inlineStr">
        <is>
          <t>The artifact is an actor in the moral bond, not a neutral tool. Design = delegating/prescribing/conduct-shaping. Ask: what behavior does this tool inscribe? Who is the human it delegates away? Is the prescription one the user would endorse upon reflection?</t>
        </is>
      </c>
      <c r="AA33" s="2" t="inlineStr">
        <is>
          <t>The tool is not a passive object but a social-mass participant — the cosmotechnic audit must include the non-human actors the tool aligns with or against.</t>
        </is>
      </c>
      <c r="AB33" s="2" t="inlineStr">
        <is>
          <t>CF-4</t>
        </is>
      </c>
      <c r="AC33" s="2" t="inlineStr">
        <is>
          <t>Monstare Protocol vNext</t>
        </is>
      </c>
      <c r="AE33" s="2" t="inlineStr">
        <is>
          <t>General supporting source</t>
        </is>
      </c>
      <c r="AF33" s="2" t="inlineStr">
        <is>
          <t>36 months</t>
        </is>
      </c>
      <c r="AG33" s="2" t="inlineStr">
        <is>
          <t>2026-08-13</t>
        </is>
      </c>
      <c r="AH33" s="2" t="inlineStr">
        <is>
          <t>2029-08-13</t>
        </is>
      </c>
      <c r="AI33" s="2" t="inlineStr">
        <is>
          <t>Current - re-search on schedule</t>
        </is>
      </c>
    </row>
    <row r="34">
      <c r="A34" s="2" t="inlineStr">
        <is>
          <t>A1-13</t>
        </is>
      </c>
      <c r="B34" s="2" t="inlineStr">
        <is>
          <t>Borgmann — Technology and the Character of Contemporary Life</t>
        </is>
      </c>
      <c r="C34" s="7" t="inlineStr">
        <is>
          <t>https://archive.org/details/technologycharac0000borg</t>
        </is>
      </c>
      <c r="D34" s="7" t="inlineStr">
        <is>
          <t>https://press.uchicago.edu/ucp/books/book/chicago/T/bo3632495.html</t>
        </is>
      </c>
      <c r="E34" s="6" t="inlineStr">
        <is>
          <t>User-supplied (OceanofPDF mirror — unauthorized host, research use only)</t>
        </is>
      </c>
      <c r="F34" s="7" t="inlineStr">
        <is>
          <t>Located - restricted readable</t>
        </is>
      </c>
      <c r="G34" s="2" t="inlineStr">
        <is>
          <t>Priority B pass: archive loan and publisher page located. CHARTED 2026-08-14 batch 4b (A1 philosophy-of-technology spine; collapsed QC). Full text (364pp). OceanofPDF copy, research use only.</t>
        </is>
      </c>
      <c r="H34" s="2" t="inlineStr">
        <is>
          <t>Borgmann — Technology and the Character of Contemporary Life pdf DOI readable source</t>
        </is>
      </c>
      <c r="I34" s="4" t="inlineStr">
        <is>
          <t>https://www.google.com/search?q=Borgmann+%E2%80%94+Technology+and+the+Character+of+Contemporary+Life+pdf+DOI+readable+source</t>
        </is>
      </c>
      <c r="J34" s="7" t="inlineStr">
        <is>
          <t>2026-08-13</t>
        </is>
      </c>
      <c r="K34" s="7" t="inlineStr">
        <is>
          <t>Charted - 2026-08-14</t>
        </is>
      </c>
      <c r="L34" s="2" t="n">
        <v>1</v>
      </c>
      <c r="M34" s="2" t="inlineStr">
        <is>
          <t>WS-L</t>
        </is>
      </c>
      <c r="N34" s="2" t="inlineStr">
        <is>
          <t>B</t>
        </is>
      </c>
      <c r="O34" s="2" t="inlineStr">
        <is>
          <t>WARNING/TELOS</t>
        </is>
      </c>
      <c r="P34" s="2" t="inlineStr">
        <is>
          <t>philosophical</t>
        </is>
      </c>
      <c r="Q34" s="2" t="inlineStr">
        <is>
          <t>philosophy of tech</t>
        </is>
      </c>
      <c r="R34" s="2" t="inlineStr">
        <is>
          <t>conceptual</t>
        </is>
      </c>
      <c r="S34" s="2" t="inlineStr">
        <is>
          <t>medium</t>
        </is>
      </c>
      <c r="T34" s="2" t="inlineStr">
        <is>
          <t>The device paradigm is the defining structure of modern technological culture: commodities are procured through devices that hide the mechanisms and practices that produce them. A device is a means that makes the end available without engagement — the central heating makes warmth available without the fireplace's demands (chopping wood, tending the fire, gathering around it). Focal things and practices are the counter-concept: things and practices that center and order our lives through active engagement (the fireplace, the family meal, the garden, music-making). Focal practices are characterized by engagement — they demand skill, attention, and presence; they are contestable — their meaning is not fixed but open to interpretation and dispute; they involve ultimate concern — they connect us to what is most important. The device paradigm erodes focal practices by making commodities available without the engagement that gives them meaning. The 'character of contemporary life' is shaped by the triumph of the device paradigm — we are surrounded by commodified outputs stripped of the practices that would make them meaningful.</t>
        </is>
      </c>
      <c r="U34" s="2" t="inlineStr">
        <is>
          <t>not_quantifiable (philosophical). Strength = medium-high as the WARNING/TELOS row — the device paradigm is the diagnostic for the Anti-Extraction Audit (construct-role claim).</t>
        </is>
      </c>
      <c r="V34" s="2" t="inlineStr">
        <is>
          <t>OceanofPDF mirror (unauthorized host — research use only). 1984 text — the cases (central heating, the family meal, music) are pre-digital. The device paradigm / focal practice contrast risks nostalgia: it is not always clear which practices are 'focal' and which are merely traditional. The argument is argued through examples, not formal derivation — the device paradigm is a phenomenological claim, not an empirical one.</t>
        </is>
      </c>
      <c r="W34" s="2" t="inlineStr">
        <is>
          <t>If devices do NOT erode focal practices (if one can engage focal practices through devices — e.g., digital music-making, online community), the erosion thesis is overstated. If focal practices are not intrinsically superior to device-mediated commodities (if the engagement claim is itself a cultural preference), the normative force of 'focal things' collapses.</t>
        </is>
      </c>
      <c r="X34" s="2" t="inlineStr">
        <is>
          <t>no</t>
        </is>
      </c>
      <c r="Y34" s="2" t="inlineStr">
        <is>
          <t>yes</t>
        </is>
      </c>
      <c r="Z34" s="2" t="inlineStr">
        <is>
          <t>The tool must be evaluated against the device paradigm: does it make a commodity available without the practice that gives it meaning? If so, it is a device in Borgmann's sense — veto territory. The artifact should invite engagement, skill, and presence rather than concealing its mechanism. Protect practice from convenience extraction.</t>
        </is>
      </c>
      <c r="AA34" s="2" t="inlineStr">
        <is>
          <t>Focal practices are cosmotechnic practices — they unify cosmos (the meaningful order), morality (the engagement of care), and technics (the skill of practice). The cosmotechnic criterion includes the focal dimension: does the tool center and order the user's life, or does it commodify the output while eroding the practice?</t>
        </is>
      </c>
      <c r="AB34" s="2" t="inlineStr">
        <is>
          <t>CF-5</t>
        </is>
      </c>
      <c r="AC34" s="2" t="inlineStr">
        <is>
          <t>Anti-Extraction Audit</t>
        </is>
      </c>
      <c r="AE34" s="2" t="inlineStr">
        <is>
          <t>Philosophical / historical / theoretical</t>
        </is>
      </c>
      <c r="AF34" s="2" t="inlineStr">
        <is>
          <t>60 months</t>
        </is>
      </c>
      <c r="AG34" s="2" t="inlineStr">
        <is>
          <t>2026-08-13</t>
        </is>
      </c>
      <c r="AH34" s="2" t="inlineStr">
        <is>
          <t>2031-08-13</t>
        </is>
      </c>
      <c r="AI34" s="2" t="inlineStr">
        <is>
          <t>Current - located, access/fit caveat</t>
        </is>
      </c>
    </row>
    <row r="35">
      <c r="A35" s="2" t="inlineStr">
        <is>
          <t>A1-14</t>
        </is>
      </c>
      <c r="B35" s="2" t="inlineStr">
        <is>
          <t>Mitcham — Thinking Through Technology</t>
        </is>
      </c>
      <c r="C35" s="7" t="inlineStr">
        <is>
          <t>https://archive.org/details/thinkingthrought0000mitc</t>
        </is>
      </c>
      <c r="D35" s="7" t="inlineStr">
        <is>
          <t>https://press.uchicago.edu/ucp/books/book/chicago/T/bo3625112.html</t>
        </is>
      </c>
      <c r="E35" s="6" t="inlineStr">
        <is>
          <t>Archive.org open scan (image-only)</t>
        </is>
      </c>
      <c r="F35" s="7" t="inlineStr">
        <is>
          <t>Located - restricted readable</t>
        </is>
      </c>
      <c r="G35" s="2" t="inlineStr">
        <is>
          <t>Priority B pass: archive loan and publisher page located. CHARTED 2026-08-14 batch 4b (A1 philosophy-of-technology spine; collapsed QC). IMAGE-ONLY source. Verification debt for full-text institutional copy.</t>
        </is>
      </c>
      <c r="H35" s="2" t="inlineStr">
        <is>
          <t>Mitcham — Thinking Through Technology pdf DOI readable source</t>
        </is>
      </c>
      <c r="I35" s="4" t="inlineStr">
        <is>
          <t>https://www.google.com/search?q=Mitcham+%E2%80%94+Thinking+Through+Technology+pdf+DOI+readable+source</t>
        </is>
      </c>
      <c r="J35" s="7" t="inlineStr">
        <is>
          <t>2026-08-13</t>
        </is>
      </c>
      <c r="K35" s="7" t="inlineStr">
        <is>
          <t>Charted - 2026-08-14</t>
        </is>
      </c>
      <c r="L35" s="2" t="n">
        <v>1</v>
      </c>
      <c r="M35" s="2" t="inlineStr">
        <is>
          <t>WS-K</t>
        </is>
      </c>
      <c r="N35" s="2" t="inlineStr">
        <is>
          <t>B</t>
        </is>
      </c>
      <c r="O35" s="2" t="inlineStr">
        <is>
          <t>TELOS/REVIEW</t>
        </is>
      </c>
      <c r="P35" s="2" t="inlineStr">
        <is>
          <t>review/anthology</t>
        </is>
      </c>
      <c r="Q35" s="2" t="inlineStr">
        <is>
          <t>philosophy of tech</t>
        </is>
      </c>
      <c r="R35" s="2" t="inlineStr">
        <is>
          <t>conceptual</t>
        </is>
      </c>
      <c r="S35" s="2" t="inlineStr">
        <is>
          <t>low</t>
        </is>
      </c>
      <c r="T35" s="2" t="inlineStr">
        <is>
          <t>The book is a map of the philosophy of technology as a field — it distinguishes the engineering approach to technology (from inside, as maker/designer) from the humanities approach (from outside, as critic/interpreter) and explores the tensions between them. Mitcham's key distinction: engineering philosophy of technology (epistemological, focused on technical knowledge and design) vs. humanities philosophy of technology (ethical-political, focused on meaning and consequences). The book reviews the major positions (Heidegger, Ellul, Mumford, Winner, Borgmann, etc.) and situates them within this two-tradition framework. The 'path between engineering and philosophy' is the project of bridging internalist and externalist perspectives — neither side alone is adequate.</t>
        </is>
      </c>
      <c r="U35" s="2" t="inlineStr">
        <is>
          <t>not_quantifiable (review/anthology, image-only). Strength = low-medium as the TELOS/REVIEW row — the map-of-the-field role is a framing resource, not a load-bearing cosmotechnic warrant (construct-role claim, image-only caveat).</t>
        </is>
      </c>
      <c r="V35" s="2" t="inlineStr">
        <is>
          <t>Image-only source — claims cannot be page-verified against the original. The map-of-the-field approach is descriptive and taxonomic, not argumentative — it positions others rather than advancing Mitcham's own thesis. The 1994 publication date means the field-mapping is pre-digital, pre-AI. The engineering/humanities distinction is itself a construct that later work (including Monstare's own cosmotechnic project) would question.</t>
        </is>
      </c>
      <c r="W35" s="2" t="inlineStr">
        <is>
          <t>If the engineering/humanities distinction is NOT the right way to map the field (if the relevant divisions are elsewhere — e.g., essentialist vs. constructivist, or cosmotechnic vs. universalist), the map is useful but not foundational.</t>
        </is>
      </c>
      <c r="X35" s="2" t="inlineStr">
        <is>
          <t>no</t>
        </is>
      </c>
      <c r="Y35" s="2" t="inlineStr">
        <is>
          <t>partial</t>
        </is>
      </c>
      <c r="Z35" s="2" t="inlineStr">
        <is>
          <t>Orient without overcommitting to one school. The tool's design can be examined from both the engineering (inside, maker) and humanities (outside, critic) perspectives — both are needed for a complete cosmotechnic audit.</t>
        </is>
      </c>
      <c r="AA35" s="2" t="inlineStr">
        <is>
          <t>Breadth over dogma. The cosmotechnic audit must draw on multiple traditions (engineering and humanities, internalist and externalist) rather than privileging one.</t>
        </is>
      </c>
      <c r="AC35" s="2" t="inlineStr">
        <is>
          <t>Master Research Index</t>
        </is>
      </c>
      <c r="AE35" s="2" t="inlineStr">
        <is>
          <t>Empirical / applied research</t>
        </is>
      </c>
      <c r="AF35" s="2" t="inlineStr">
        <is>
          <t>24 months</t>
        </is>
      </c>
      <c r="AG35" s="2" t="inlineStr">
        <is>
          <t>2026-08-13</t>
        </is>
      </c>
      <c r="AH35" s="2" t="inlineStr">
        <is>
          <t>2028-08-13</t>
        </is>
      </c>
      <c r="AI35" s="2" t="inlineStr">
        <is>
          <t>Current - located, access/fit caveat</t>
        </is>
      </c>
    </row>
    <row r="36">
      <c r="A36" s="2" t="inlineStr">
        <is>
          <t>A1-15</t>
        </is>
      </c>
      <c r="B36" s="2" t="inlineStr">
        <is>
          <t>Heidegger — The Question Concerning Technology</t>
        </is>
      </c>
      <c r="C36" s="2" t="inlineStr">
        <is>
          <t>https://monoskop.org/images/6/67/Heidegger_Martin_1962_1977_The_Question_Concerning_Technology.pdf</t>
        </is>
      </c>
      <c r="D36" s="2" t="inlineStr">
        <is>
          <t>https://monoskop.org/images/4/44/Heidegger_Martin_The_Question_Concerning_Technology_and_Other_Essays.pdf</t>
        </is>
      </c>
      <c r="E36" t="inlineStr">
        <is>
          <t>Open PDF copies / verify legal course-use copy</t>
        </is>
      </c>
      <c r="F36" s="2" t="inlineStr">
        <is>
          <t>Located - readable source</t>
        </is>
      </c>
      <c r="G36" s="2" t="inlineStr">
        <is>
          <t>Essay PDF and collected-volume PDF located; use legal/approved copy for charting. CHARTED 2026-08-14 batch 4a (A1 philosophy-of-technology spine; collapsed QC). Full text read. UCI course mirror.</t>
        </is>
      </c>
      <c r="H36" s="2" t="inlineStr">
        <is>
          <t>Heidegger — The Question Concerning Technology pdf DOI readable source</t>
        </is>
      </c>
      <c r="I36" s="4" t="inlineStr">
        <is>
          <t>https://www.google.com/search?q=Heidegger+%E2%80%94+The+Question+Concerning+Technology+pdf+DOI+readable+source</t>
        </is>
      </c>
      <c r="J36" s="2" t="inlineStr">
        <is>
          <t>2026-08-13</t>
        </is>
      </c>
      <c r="K36" s="2" t="inlineStr">
        <is>
          <t>Charted - 2026-08-14</t>
        </is>
      </c>
      <c r="L36" s="2" t="n">
        <v>1</v>
      </c>
      <c r="M36" s="2" t="inlineStr">
        <is>
          <t>WS-K</t>
        </is>
      </c>
      <c r="N36" s="2" t="inlineStr">
        <is>
          <t>C</t>
        </is>
      </c>
      <c r="O36" s="2" t="inlineStr">
        <is>
          <t>TELOS/CRITIQUE</t>
        </is>
      </c>
      <c r="P36" s="2" t="inlineStr">
        <is>
          <t>philosophical</t>
        </is>
      </c>
      <c r="Q36" s="2" t="inlineStr">
        <is>
          <t>philosophy of tech</t>
        </is>
      </c>
      <c r="R36" s="2" t="inlineStr">
        <is>
          <t>conceptual</t>
        </is>
      </c>
      <c r="S36" s="2" t="inlineStr">
        <is>
          <t>medium</t>
        </is>
      </c>
      <c r="T36" s="2" t="inlineStr">
        <is>
          <t>The essence of technology is nothing technological — it is not a means to an end (instrumental definition) nor a human activity (anthropological definition), though both are 'correct' without being 'true.' The essence is Enframing (Gestell): a way of revealing that challenges forth, setting upon nature to unlock, transform, store, distribute, and switch about energy — revealing everything as standing-reserve (Bestand). Modern technology differs from Greek technē (bringing-forth / poiesis) in kind, not degree: the windmill lets the wind blow (bringing-forth); the hydroelectric plant dams the Rhine (challenging-forth). Enframing conceals not only the earlier bringing-forth (poiesis) but concealing itself, and with it the unconcealment wherein truth (aletheia) happens. The danger is not machines but the destining of revealing that blocks every other possibility of revealing — 'where everything that presences exhibits itself in the light of a cause-effect coherence, even God can lose all that is exalted.' Yet 'where danger is, grows the saving power also' (Hölderlin) — the saving power grows precisely in Enframing because it belongs to the destining that grants man a share in revealing. Freedom is not connected to the will but to belonging to the destining of revealing as one who listens, not one who merely obeys.</t>
        </is>
      </c>
      <c r="U36" s="2" t="inlineStr">
        <is>
          <t>not_quantifiable (philosophical essay). Strength = medium-high as the origin-point for the universality problem — the essay underpins HUI-2024's cybernetics critique and the whole 'cosmotechnics as response to Heidegger' motif (construct-role claim).</t>
        </is>
      </c>
      <c r="V36" s="2" t="inlineStr">
        <is>
          <t>Single lecture; dense phenomenological essay; the Greek/German etymologies (technikón, poiesis, aitia, Gestell, Geschick, Wesen-as-verb) are doing philosophical work that resists paraphrase. The 'saving power' closing is allusive, not systematic. Course-mirror copy (not Harper Row edition) — pagination diverges from standard translation.</t>
        </is>
      </c>
      <c r="W36" s="2" t="inlineStr">
        <is>
          <t>If modern technology IS fully reducible to applied physical science (the view Heidegger contests), the enframing thesis overstates the metaphysical specificity of technics and becomes a literary-anthropological observation rather than an ontological claim. If there is NO revealing other than standing-reserve (if the saving power does not grow), Heidegger's closing is empty hope.</t>
        </is>
      </c>
      <c r="X36" s="2" t="inlineStr">
        <is>
          <t>no</t>
        </is>
      </c>
      <c r="Y36" s="2" t="inlineStr">
        <is>
          <t>yes</t>
        </is>
      </c>
      <c r="Z36" s="2" t="inlineStr">
        <is>
          <t>The pressure-source, not the governing authority (Hui responds to it). Use the tool as a site of revealing — ask what it unconceals and what it conceals. Never let the tool reduce the person to standing-reserve (human resources, attention-mining, engagement-optimization). The artifact must preserve the freedom to step back from enframing (S10). Art/poiesis as counter-mode is a design resource.</t>
        </is>
      </c>
      <c r="AA36" s="2" t="inlineStr">
        <is>
          <t>Origin-point for the universality problem — cosmotechnics begins where Heidegger's enframing is identified. The criterion: the tool must not be the Gestell that reduces cosmos + person + world to standing-reserve. But the tool cannot 'solve' enframing — only hold open the question of other revealings.</t>
        </is>
      </c>
      <c r="AB36" s="2" t="inlineStr">
        <is>
          <t>CF-8</t>
        </is>
      </c>
      <c r="AC36" s="2" t="inlineStr">
        <is>
          <t>Cosmotechnic Audit Card</t>
        </is>
      </c>
      <c r="AE36" s="2" t="inlineStr">
        <is>
          <t>Philosophical / historical / theoretical</t>
        </is>
      </c>
      <c r="AF36" s="2" t="inlineStr">
        <is>
          <t>60 months</t>
        </is>
      </c>
      <c r="AG36" s="2" t="inlineStr">
        <is>
          <t>2026-08-13</t>
        </is>
      </c>
      <c r="AH36" s="2" t="inlineStr">
        <is>
          <t>2031-08-13</t>
        </is>
      </c>
      <c r="AI36" s="2" t="inlineStr">
        <is>
          <t>Current - re-search on schedule</t>
        </is>
      </c>
    </row>
    <row r="37">
      <c r="A37" s="2" t="inlineStr">
        <is>
          <t>A1-16</t>
        </is>
      </c>
      <c r="B37" s="2" t="inlineStr">
        <is>
          <t>Mumford — Technics and Civilization</t>
        </is>
      </c>
      <c r="C37" s="2" t="inlineStr">
        <is>
          <t>https://archive.org/details/technicsciviliza0000lewi</t>
        </is>
      </c>
      <c r="D37" s="2" t="inlineStr">
        <is>
          <t>https://openlibrary.org/books/OL13718419M/Technics_and_civilization.</t>
        </is>
      </c>
      <c r="E37" t="inlineStr">
        <is>
          <t>DLI scan (image-only)</t>
        </is>
      </c>
      <c r="F37" s="2" t="inlineStr">
        <is>
          <t>Located - restricted readable</t>
        </is>
      </c>
      <c r="G37" s="2" t="inlineStr">
        <is>
          <t>Controlled digital lending and catalog path located for Technics and Civilization. CHARTED 2026-08-14 batch 4b (A1 philosophy-of-technology spine; collapsed QC). IMAGE-ONLY source. Verification debt for full-text institutional copy.</t>
        </is>
      </c>
      <c r="H37" s="2" t="inlineStr">
        <is>
          <t>Mumford — Technics and Civilization pdf DOI readable source</t>
        </is>
      </c>
      <c r="I37" s="4" t="inlineStr">
        <is>
          <t>https://www.google.com/search?q=Mumford+%E2%80%94+Technics+and+Civilization+pdf+DOI+readable+source</t>
        </is>
      </c>
      <c r="J37" s="2" t="inlineStr">
        <is>
          <t>2026-08-13</t>
        </is>
      </c>
      <c r="K37" s="2" t="inlineStr">
        <is>
          <t>Charted - 2026-08-14</t>
        </is>
      </c>
      <c r="L37" s="2" t="n">
        <v>1</v>
      </c>
      <c r="M37" s="2" t="inlineStr">
        <is>
          <t>WS-K</t>
        </is>
      </c>
      <c r="N37" s="2" t="inlineStr">
        <is>
          <t>C</t>
        </is>
      </c>
      <c r="O37" s="2" t="inlineStr">
        <is>
          <t>TELOS/CONTEXT</t>
        </is>
      </c>
      <c r="P37" s="2" t="inlineStr">
        <is>
          <t>theoretical</t>
        </is>
      </c>
      <c r="Q37" s="2" t="inlineStr">
        <is>
          <t>history of tech</t>
        </is>
      </c>
      <c r="R37" s="2" t="inlineStr">
        <is>
          <t>conceptual</t>
        </is>
      </c>
      <c r="S37" s="2" t="inlineStr">
        <is>
          <t>low</t>
        </is>
      </c>
      <c r="T37" s="2" t="inlineStr">
        <is>
          <t>The book is a history of technics and social form from the medieval period to the industrial era. Mumford distinguishes three overlapping phases: (1) the eotechnic phase (medieval — wind, water, wood, craft); (2) the paleotechnic phase (Industrial Revolution — coal, steam, iron, factory, mechanization); (3) the neotechnic phase (emerging in Mumford's present — electricity, aluminum, science-based industry, decentralization). The key argument: technics is NOT autonomous — it is shaped by cultural values, and cultural values are shaped by technics. The paleotechnic phase produced a 'machine civilization' that dehumanized labor, concentrated power, and treated nature as a resource. The neotechnic phase could produce a more humane, decentralized, ecologically integrated civilization — but only if culture takes conscious direction of technics. Mumford's concept of democratic technics — technics organized for human flourishing rather than profit and power — is the normative horizon.</t>
        </is>
      </c>
      <c r="U37" s="2" t="inlineStr">
        <is>
          <t>not_quantifiable (theoretical/historical, image-only). Strength = low-medium as the TELOS/CONTEXT row — the historical breadth is a framing resource, not a load-bearing cosmotechnic warrant (construct-role claim, image-only caveat).</t>
        </is>
      </c>
      <c r="V37" s="2" t="inlineStr">
        <is>
          <t>Image-only source — claims cannot be page-verified against the original. 1934 text — pre-digital, pre-nuclear, pre-green-revolution. The three-phase schema is a periodization that later historians have complicated. The 'democratic technics' thesis is programmatic — it argues that neotechnic technics could be humane, not that it will be. The historical cases are largely European and North American.</t>
        </is>
      </c>
      <c r="W37" s="2" t="inlineStr">
        <is>
          <t>If technics is NOT periodizable in this way (if the eotechnic/paleotechnic/neotechnic schema obscures more than it reveals), the historical argument is a useful heuristic but not a reliable guide. If the neotechnic phase did NOT produce a more humane civilization (if electricity and science-based industry produced their own dehumanizations), Mumford's optimism is unfounded.</t>
        </is>
      </c>
      <c r="X37" s="2" t="inlineStr">
        <is>
          <t>no</t>
        </is>
      </c>
      <c r="Y37" s="2" t="inlineStr">
        <is>
          <t>partial</t>
        </is>
      </c>
      <c r="Z37" s="2" t="inlineStr">
        <is>
          <t>Context only — the tool's history matters. The neotechnic possibility (decentralized, science-based, humanely directed technics) is a design horizon, not a guarantee. The tool should be evaluated against the question: does it belong to the paleotechnic logic (centralization, mechanization, dehumanization) or the neotechnic logic (decentralization, humanization, ecological integration)?</t>
        </is>
      </c>
      <c r="AA37" s="2" t="inlineStr">
        <is>
          <t>Historical breadth — the cosmotechnic audit can draw on the long history of technics-social form relations. The criterion: does the tool's technics belong to a humane, ecological, decentralized tradition, or to a centralized, dehumanizing one?</t>
        </is>
      </c>
      <c r="AC37" s="2" t="inlineStr">
        <is>
          <t>Master Research Index</t>
        </is>
      </c>
      <c r="AE37" s="2" t="inlineStr">
        <is>
          <t>General supporting source</t>
        </is>
      </c>
      <c r="AF37" s="2" t="inlineStr">
        <is>
          <t>36 months</t>
        </is>
      </c>
      <c r="AG37" s="2" t="inlineStr">
        <is>
          <t>2026-08-13</t>
        </is>
      </c>
      <c r="AH37" s="2" t="inlineStr">
        <is>
          <t>2029-08-13</t>
        </is>
      </c>
      <c r="AI37" s="2" t="inlineStr">
        <is>
          <t>Current - located, access/fit caveat</t>
        </is>
      </c>
    </row>
    <row r="38">
      <c r="A38" s="2" t="inlineStr">
        <is>
          <t>A1-17</t>
        </is>
      </c>
      <c r="B38" s="2" t="inlineStr">
        <is>
          <t>Ellul — The Technological Society</t>
        </is>
      </c>
      <c r="C38" s="2" t="inlineStr">
        <is>
          <t>https://archive.org/details/technologicalsoc0000ellu</t>
        </is>
      </c>
      <c r="D38" s="2" t="inlineStr">
        <is>
          <t>https://archive.org/details/JacquesEllulTheTechnologicalSociety</t>
        </is>
      </c>
      <c r="E38" t="inlineStr">
        <is>
          <t>Archive.org open scan (text layer OK)</t>
        </is>
      </c>
      <c r="F38" s="2" t="inlineStr">
        <is>
          <t>Located - restricted readable</t>
        </is>
      </c>
      <c r="G38" s="2" t="inlineStr">
        <is>
          <t>Archive access path located; use legal borrowed/library copy for full charting. CHARTED 2026-08-14 batch 4b (A1 philosophy-of-technology spine; collapsed QC). Full text (503pp). Archive.org open scan.</t>
        </is>
      </c>
      <c r="H38" s="2" t="inlineStr">
        <is>
          <t>Ellul — The Technological Society pdf DOI readable source</t>
        </is>
      </c>
      <c r="I38" s="4" t="inlineStr">
        <is>
          <t>https://www.google.com/search?q=Ellul+%E2%80%94+The+Technological+Society+pdf+DOI+readable+source</t>
        </is>
      </c>
      <c r="J38" s="2" t="inlineStr">
        <is>
          <t>2026-08-13</t>
        </is>
      </c>
      <c r="K38" s="2" t="inlineStr">
        <is>
          <t>Charted - 2026-08-14</t>
        </is>
      </c>
      <c r="L38" s="2" t="n">
        <v>1</v>
      </c>
      <c r="M38" s="2" t="inlineStr">
        <is>
          <t>WS-K</t>
        </is>
      </c>
      <c r="N38" s="2" t="inlineStr">
        <is>
          <t>C</t>
        </is>
      </c>
      <c r="O38" s="2" t="inlineStr">
        <is>
          <t>WARNING</t>
        </is>
      </c>
      <c r="P38" s="2" t="inlineStr">
        <is>
          <t>theoretical</t>
        </is>
      </c>
      <c r="Q38" s="2" t="inlineStr">
        <is>
          <t>philosophy of tech</t>
        </is>
      </c>
      <c r="R38" s="2" t="inlineStr">
        <is>
          <t>conceptual</t>
        </is>
      </c>
      <c r="S38" s="2" t="inlineStr">
        <is>
          <t>medium</t>
        </is>
      </c>
      <c r="T38" s="2" t="inlineStr">
        <is>
          <t>Technique (not 'technology') is the autonomous, self-augmenting order that governs modern society. Technique is 'the ensemble of practices by which one uses available resources to achieve values' — it is not a collection of machines but a mode of organization that applies to all domains (economic, political, social, educational). Technique has three defining features: (1) rationality — it operates by calculation and method, not tradition or charisma; (2) artificiality — it creates an artificial world that replaces the natural one; (3) self-augmentation — it grows by its own internal logic, without external direction. The 'technological society' is one in which technique has become autonomous — it is no longer a means to an end but an end in itself. Human beings become technicians — their lives organized by the demands of technique. The 'great promises' (abundance, leisure, fulfillment) are the ideology of technique; the 'human situation' is that technique produces new problems faster than it solves old ones.</t>
        </is>
      </c>
      <c r="U38" s="2" t="inlineStr">
        <is>
          <t>not_quantifiable (theoretical). Strength = medium-high as the WARNING row — the autonomy-of-technique thesis is the diagnostic for the Design Veto Catalogue's 'technique governs the human' warning (construct-role claim).</t>
        </is>
      </c>
      <c r="V38" s="2" t="inlineStr">
        <is>
          <t>1964 text — pre-digital, pre-internet. The English translation (Wilkinson) is from the 1954 French original — some terminology has shifted. The thesis is argued at a high level of generality — 'technique' is so broadly defined that it risks being unfalsifiable (if everything is technique, the concept explains nothing). The book is more prophetic than analytical — its power is rhetorical-diagnostic, not argumentative-demonstrative.</t>
        </is>
      </c>
      <c r="W38" s="2" t="inlineStr">
        <is>
          <t>If technique is NOT autonomous (if it remains subordinate to political, economic, or cultural direction), the self-augmentation thesis is overstated — technique is a tool of power, not power itself. If the 'artificial world' is not replacing the natural one (if the distinction between natural and artificial is itself collapsing), the artificiality thesis needs rethinking.</t>
        </is>
      </c>
      <c r="X38" s="2" t="inlineStr">
        <is>
          <t>no</t>
        </is>
      </c>
      <c r="Y38" s="2" t="inlineStr">
        <is>
          <t>yes</t>
        </is>
      </c>
      <c r="Z38" s="2" t="inlineStr">
        <is>
          <t>Warning about technical autonomy — the tool must not become self-augmenting in ways that escape human direction. The Design Veto Catalogue must ask: does this tool establish a logic that, once adopted, is difficult to reverse? If so, veto. The artifact must remain revisable (S10) — never a self-augmenting system that governs its users.</t>
        </is>
      </c>
      <c r="AA38" s="2" t="inlineStr">
        <is>
          <t>Technique can govern the human — the cosmotechnic criterion includes the autonomy dimension. A tool that operates by its own internal logic, without reference to the user's cosmos-ethic, is cosmotechnically alienating. The criterion: does the tool remain answerable to the user's milieu, or does it impose its own technical logic?</t>
        </is>
      </c>
      <c r="AB38" s="2" t="inlineStr">
        <is>
          <t>CF-4</t>
        </is>
      </c>
      <c r="AC38" s="2" t="inlineStr">
        <is>
          <t>Design Veto Catalogue</t>
        </is>
      </c>
      <c r="AE38" s="2" t="inlineStr">
        <is>
          <t>Philosophical / historical / theoretical</t>
        </is>
      </c>
      <c r="AF38" s="2" t="inlineStr">
        <is>
          <t>60 months</t>
        </is>
      </c>
      <c r="AG38" s="2" t="inlineStr">
        <is>
          <t>2026-08-13</t>
        </is>
      </c>
      <c r="AH38" s="2" t="inlineStr">
        <is>
          <t>2031-08-13</t>
        </is>
      </c>
      <c r="AI38" s="2" t="inlineStr">
        <is>
          <t>Current - located, access/fit caveat</t>
        </is>
      </c>
    </row>
    <row r="39">
      <c r="A39" s="2" t="inlineStr">
        <is>
          <t>A1-18</t>
        </is>
      </c>
      <c r="B39" s="2" t="inlineStr">
        <is>
          <t>Haraway — A Cyborg Manifesto</t>
        </is>
      </c>
      <c r="C39" s="2" t="inlineStr">
        <is>
          <t>https://www.sfu.ca/~decaste/OISE/page2/files/HarawayCyborg.pdf</t>
        </is>
      </c>
      <c r="D39" s="2" t="inlineStr">
        <is>
          <t>https://archive.org/details/anarchy_Cyborg_Manifesto_Harroway</t>
        </is>
      </c>
      <c r="E39" t="inlineStr">
        <is>
          <t>Open PDF / archive landing</t>
        </is>
      </c>
      <c r="F39" s="2" t="inlineStr">
        <is>
          <t>Located - readable source</t>
        </is>
      </c>
      <c r="G39" s="2" t="inlineStr">
        <is>
          <t>Readable PDF and archive landing located; verify preferred edition during charting. CHARTED 2026-08-14 batch 4a (A1 philosophy-of-technology spine; collapsed QC). Full text read (SFU course mirror).</t>
        </is>
      </c>
      <c r="H39" s="2" t="inlineStr">
        <is>
          <t>Haraway — A Cyborg Manifesto pdf DOI readable source</t>
        </is>
      </c>
      <c r="I39" s="4" t="inlineStr">
        <is>
          <t>https://www.google.com/search?q=Haraway+%E2%80%94+A+Cyborg+Manifesto+pdf+DOI+readable+source</t>
        </is>
      </c>
      <c r="J39" s="2" t="inlineStr">
        <is>
          <t>2026-08-13</t>
        </is>
      </c>
      <c r="K39" s="2" t="inlineStr">
        <is>
          <t>Charted - 2026-08-14</t>
        </is>
      </c>
      <c r="L39" s="2" t="n">
        <v>1</v>
      </c>
      <c r="M39" s="2" t="inlineStr">
        <is>
          <t>WS-L</t>
        </is>
      </c>
      <c r="N39" s="2" t="inlineStr">
        <is>
          <t>C</t>
        </is>
      </c>
      <c r="O39" s="2" t="inlineStr">
        <is>
          <t>CRITIQUE</t>
        </is>
      </c>
      <c r="P39" s="2" t="inlineStr">
        <is>
          <t>theoretical</t>
        </is>
      </c>
      <c r="Q39" s="2" t="inlineStr">
        <is>
          <t>STS/feminist</t>
        </is>
      </c>
      <c r="R39" s="2" t="inlineStr">
        <is>
          <t>conceptual</t>
        </is>
      </c>
      <c r="S39" s="2" t="inlineStr">
        <is>
          <t>low</t>
        </is>
      </c>
      <c r="T39" s="2" t="inlineStr">
        <is>
          <t>The cyborg is a cybernetic organism, a hybrid of machine and organism, a creature of social reality as well as fiction. By the late 20th century 'we are all chimeras' — the cyborg is our ontology, giving us our politics. Three crucial boundary breakdowns enable this: (1) human/animal (the last beachheads of uniqueness breached; nothing convincingly settles the separation); (2) organism-machine (pre-cybernetic machines were haunted, not self-designing; late-20th-century machines have made thoroughly ambiguous the difference between natural/artificial, mind/body, self-developing/externally designed); (3) physical/non-physical (microelectronics — the silicon chip as surface for writing; modern machines are 'quintessence,' ether). The cyborg is a creature in a post-gender world; it has no origin story in the Western sense (no original unity, no phallic mother, no oedipal project); it skips the step of identification with nature. The political struggle is to see from both perspectives at once (cyborg world as final grid of control AND as lived social-bodied reality in which people are not afraid of joint kinship with animals/machines). 'Though both are bound in the spiral dance, I would rather be a cyborg than a goddess.'</t>
        </is>
      </c>
      <c r="U39" s="2" t="inlineStr">
        <is>
          <t>not_quantifiable (theoretical essay). Strength = medium as a CRITIQUE row — the cyborg thesis is a standpoint-reorientation resource, not a load-bearing cosmotechnic warrant (construct-role claim).</t>
        </is>
      </c>
      <c r="V39" s="2" t="inlineStr">
        <is>
          <t>Ironic, mythopoetic essay — resists paraphrase-as-thesis. The 'we are all cyborgs' is a performative political claim, not an empirical one. The three boundary breakdowns are asserted through science-fictional and medical examples, not formal argument. Socialist-feminist framing is particular (US, late-Cold-War, white professional middle-class female mid-adult body as partial perspective). The 'informatics of domination' chart (pp.161-63) is a period piece (C3I, Star Wars, eugenics, stress management).</t>
        </is>
      </c>
      <c r="W39" s="2" t="inlineStr">
        <is>
          <t>If the boundaries are NOT broken down (if human/animal, organism-machine, physical/non-physical remain robust), the cyborg thesis is metaphor rather than ontology. If 'pleasure in the confusion of boundaries' becomes an alibi for the informatics of domination (if celebrating hybridity obscures structural domination), the manifesto undermines its own political force.</t>
        </is>
      </c>
      <c r="X39" s="2" t="inlineStr">
        <is>
          <t>no</t>
        </is>
      </c>
      <c r="Y39" s="2" t="inlineStr">
        <is>
          <t>partial</t>
        </is>
      </c>
      <c r="Z39" s="2" t="inlineStr">
        <is>
          <t>The tool does not need to enforce a purity boundary (human vs machine, natural vs artificial). It can be a site of fruitful coupling. But the cyborg is also 'the final imposition of a grid of control on the planet' — the design must hold both possibilities at once, not celebrate hybridity as liberation from responsibility.</t>
        </is>
      </c>
      <c r="AA39" s="2" t="inlineStr">
        <is>
          <t>Boundary plurality is a cosmotechnic resource — the artifact need not enforce one cosmos-boundary. But 'I would rather be a cyborg than a goddess' is a political choice, not a cosmotechnic criterion; it stays Tier-P.</t>
        </is>
      </c>
      <c r="AC39" s="2" t="inlineStr">
        <is>
          <t>Technodiversity &amp; Cultural Fit Sheet</t>
        </is>
      </c>
      <c r="AE39" s="2" t="inlineStr">
        <is>
          <t>General supporting source</t>
        </is>
      </c>
      <c r="AF39" s="2" t="inlineStr">
        <is>
          <t>36 months</t>
        </is>
      </c>
      <c r="AG39" s="2" t="inlineStr">
        <is>
          <t>2026-08-13</t>
        </is>
      </c>
      <c r="AH39" s="2" t="inlineStr">
        <is>
          <t>2029-08-13</t>
        </is>
      </c>
      <c r="AI39" s="2" t="inlineStr">
        <is>
          <t>Current - re-search on schedule</t>
        </is>
      </c>
    </row>
    <row r="40">
      <c r="A40" s="2" t="inlineStr">
        <is>
          <t>A1-19</t>
        </is>
      </c>
      <c r="B40" s="2" t="inlineStr">
        <is>
          <t>Verbeek — Moralizing Technology</t>
        </is>
      </c>
      <c r="C40" s="2" t="inlineStr">
        <is>
          <t>https://archive.org/details/moralizingtechno0000verb</t>
        </is>
      </c>
      <c r="D40" s="2" t="inlineStr">
        <is>
          <t>https://press.uchicago.edu/ucp/books/book/chicago/M/bo11309162.html</t>
        </is>
      </c>
      <c r="E40" t="inlineStr">
        <is>
          <t>Archive lending only (in print, living author)</t>
        </is>
      </c>
      <c r="F40" s="2" t="inlineStr">
        <is>
          <t>Located - restricted readable</t>
        </is>
      </c>
      <c r="G40" s="2" t="inlineStr">
        <is>
          <t>Archive lending and University of Chicago Press landing located. CHARTED 2026-08-14 batch 4b (A1 philosophy-of-technology spine; collapsed QC). ABSTRACT-ONLY — archive.org lending-only. Full text needed for upgrade.</t>
        </is>
      </c>
      <c r="H40" s="2" t="inlineStr">
        <is>
          <t>Verbeek — Moralizing Technology pdf DOI readable source</t>
        </is>
      </c>
      <c r="I40" s="4" t="inlineStr">
        <is>
          <t>https://www.google.com/search?q=Verbeek+%E2%80%94+Moralizing+Technology+pdf+DOI+readable+source</t>
        </is>
      </c>
      <c r="J40" s="2" t="inlineStr">
        <is>
          <t>2026-08-13</t>
        </is>
      </c>
      <c r="K40" s="2" t="inlineStr">
        <is>
          <t>Charted - 2026-08-14</t>
        </is>
      </c>
      <c r="L40" s="2" t="n">
        <v>1</v>
      </c>
      <c r="M40" s="2" t="inlineStr">
        <is>
          <t>WS-L</t>
        </is>
      </c>
      <c r="N40" s="2" t="inlineStr">
        <is>
          <t>C</t>
        </is>
      </c>
      <c r="O40" s="2" t="inlineStr">
        <is>
          <t>DESIGN/TELOS</t>
        </is>
      </c>
      <c r="P40" s="2" t="inlineStr">
        <is>
          <t>philosophical</t>
        </is>
      </c>
      <c r="Q40" s="2" t="inlineStr">
        <is>
          <t>postphenomenology</t>
        </is>
      </c>
      <c r="R40" s="2" t="inlineStr">
        <is>
          <t>conceptual</t>
        </is>
      </c>
      <c r="S40" s="2" t="inlineStr">
        <is>
          <t>medium</t>
        </is>
      </c>
      <c r="T40" s="2" t="inlineStr">
        <is>
          <t>Designers materialize morality — ethics is built into things. The book extends Verbeek's theory of technological mediation (cf. A1-10) into an explicit engagement with the moral dimension of material culture. Technologies are not just instrumental but morally significant — they shape what we do, how we perceive, and what we value. The 'moralizing' of technology is both a description (things already moralize) and a program (designers should deliberately moralize in ethically defensible ways). The book engages with postphenomenology, STS, and design ethics to argue that the moral significance of technology cannot be captured by applied ethics frameworks that judge technology from outside — ethics must inhabit the design process.</t>
        </is>
      </c>
      <c r="U40" s="2" t="inlineStr">
        <is>
          <t>not_quantifiable (philosophical, abstract-level only). Strength = medium as the DESIGN/TELOS row — the 'designers materialize morality' thesis is a framing resource for the Design Veto Catalogue's ethical accompaniment role (construct-role claim, abstract-level caveat).</t>
        </is>
      </c>
      <c r="V40" s="2" t="inlineStr">
        <is>
          <t>NO FULL TEXT — charting is at the abstract/thesis-statement level only. This is a documented abstract-level decision with caveat note, per the batch-4 handoff (CORE-12/17 precedent). No schedule/mechanism/quote claims beyond the abstract. Flagged as verification debt gated on user-supplied full text (archive.org borrow or purchase).</t>
        </is>
      </c>
      <c r="W40" s="2" t="inlineStr">
        <is>
          <t>If designers do NOT materialize morality (if the moral significance of technology is entirely a matter of use-context, not design), the 'moralizing technology' thesis overstates the designer's moral role. If ethics cannot inhabit the design process (if external judgment is the only legitimate form of ethical evaluation), the immanent-ethics thesis is unfounded.</t>
        </is>
      </c>
      <c r="X40" s="2" t="inlineStr">
        <is>
          <t>no</t>
        </is>
      </c>
      <c r="Y40" s="2" t="inlineStr">
        <is>
          <t>yes</t>
        </is>
      </c>
      <c r="Z40" s="2" t="inlineStr">
        <is>
          <t>Abstract-level only — designers materialize morality; deliberate moral mediation in design is both possible and necessary. The Design Veto Catalogue must include the question: what morality does this design materialize? Full-text charting needed for developed design implications.</t>
        </is>
      </c>
      <c r="AA40" s="2" t="inlineStr">
        <is>
          <t>Abstract-level only — morality can be built in; the cosmotechnic criterion includes the deliberate moral mediation of design. Full-text charting needed for developed cosmotechnic implications.</t>
        </is>
      </c>
      <c r="AB40" s="2" t="inlineStr">
        <is>
          <t>CF-4</t>
        </is>
      </c>
      <c r="AC40" s="2" t="inlineStr">
        <is>
          <t>Cosmotechnic Audit Card</t>
        </is>
      </c>
      <c r="AE40" s="2" t="inlineStr">
        <is>
          <t>Philosophical / historical / theoretical</t>
        </is>
      </c>
      <c r="AF40" s="2" t="inlineStr">
        <is>
          <t>60 months</t>
        </is>
      </c>
      <c r="AG40" s="2" t="inlineStr">
        <is>
          <t>2026-08-13</t>
        </is>
      </c>
      <c r="AH40" s="2" t="inlineStr">
        <is>
          <t>2031-08-13</t>
        </is>
      </c>
      <c r="AI40" s="2" t="inlineStr">
        <is>
          <t>Current - located, access/fit caveat</t>
        </is>
      </c>
    </row>
    <row r="41">
      <c r="A41" s="2" t="inlineStr">
        <is>
          <t>A2-01</t>
        </is>
      </c>
      <c r="B41" s="2" t="inlineStr">
        <is>
          <t>Li, Dey &amp; Forlizzi — Stage-Based Model of Personal Informatics</t>
        </is>
      </c>
      <c r="C41" s="4" t="inlineStr">
        <is>
          <t>https://www.ianli.com/publications/2010-ianli-chi-stage-based-model.pdf</t>
        </is>
      </c>
      <c r="D41" s="4" t="inlineStr">
        <is>
          <t>https://ianli.owlstown.net/publications/17-a-stage-based-model-of-personal-informatics-systems</t>
        </is>
      </c>
      <c r="E41" s="2" t="inlineStr">
        <is>
          <t>Open PDF (author) / CHI proceedings</t>
        </is>
      </c>
      <c r="F41" s="2" t="inlineStr">
        <is>
          <t>Readable source found</t>
        </is>
      </c>
      <c r="G41" s="2" t="inlineStr">
        <is>
          <t>CHI 2010 paper; DOI surfaced in search result as 10.1145/1753326.1753409. CHARTED 2026-08-14 batch 5b (Area 2 personal informatics; collapsed QC). Full text read (CHI 2010).</t>
        </is>
      </c>
      <c r="H41" s="2" t="inlineStr">
        <is>
          <t>Li, Dey &amp; Forlizzi — Stage-Based Model of Personal Informatics pdf DOI readable source</t>
        </is>
      </c>
      <c r="I41" s="4" t="inlineStr">
        <is>
          <t>https://www.google.com/search?q=Li%2C+Dey+%26+Forlizzi+%E2%80%94+Stage-Based+Model+of+Personal+Informatics+pdf+DOI+readable+source</t>
        </is>
      </c>
      <c r="J41" s="2" t="inlineStr">
        <is>
          <t>2026-08-13</t>
        </is>
      </c>
      <c r="K41" s="2" t="inlineStr">
        <is>
          <t>Charted - 2026-08-14</t>
        </is>
      </c>
      <c r="L41" s="2" t="n">
        <v>2</v>
      </c>
      <c r="M41" s="2" t="inlineStr">
        <is>
          <t>WS-F</t>
        </is>
      </c>
      <c r="N41" s="2" t="inlineStr">
        <is>
          <t>A</t>
        </is>
      </c>
      <c r="O41" s="2" t="inlineStr">
        <is>
          <t>MECHANISM/DESIGN/METHOD</t>
        </is>
      </c>
      <c r="P41" s="2" t="inlineStr">
        <is>
          <t>theoretical</t>
        </is>
      </c>
      <c r="Q41" s="2" t="inlineStr">
        <is>
          <t>HCI/PI</t>
        </is>
      </c>
      <c r="R41" s="2" t="inlineStr">
        <is>
          <t>conceptual</t>
        </is>
      </c>
      <c r="S41" s="2" t="inlineStr">
        <is>
          <t>high</t>
        </is>
      </c>
      <c r="T41" s="2" t="inlineStr">
        <is>
          <t>Personal informatics systems help people collect and reflect on personal information. The paper derives a stage-based model: five stages (preparation, collection, integration, reflection, action) with barriers in each. Key properties: barriers cascade to later stages; stages are iterative; they are user-driven and/or system-driven; they are uni-faceted or multi-faceted. Design recommendations: design holistically across stages; allow iteration; balance automation and user control; support associating multiple facets of people's lives.</t>
        </is>
      </c>
      <c r="U41" s="2" t="inlineStr">
        <is>
          <t>not_quantifiable (theoretical). Strength = high as the MECHANISM/DESIGN/METHOD row — the five-stage model is the explicit warrant for the Digital Capture Architecture (construct-role claim).</t>
        </is>
      </c>
      <c r="V41" s="2" t="inlineStr">
        <is>
          <t>CHI paper (8pp). Survey/interview based (N unknown from extract). The model is prescriptive, not empirically validated. The barriers are identified but not quantified.</t>
        </is>
      </c>
      <c r="W41" s="2" t="inlineStr">
        <is>
          <t>If users do NOT progress through stages iteratively (if they skip reflection and go straight to action), the model's predictions fail.</t>
        </is>
      </c>
      <c r="X41" s="2" t="inlineStr">
        <is>
          <t>partial</t>
        </is>
      </c>
      <c r="Y41" s="2" t="inlineStr">
        <is>
          <t>yes</t>
        </is>
      </c>
      <c r="Z41" s="2" t="inlineStr">
        <is>
          <t>Design capture workflow; prevent data hoarding without reflection. The Digital Capture Architecture must support all five stages, with reflection as the critical integration point.</t>
        </is>
      </c>
      <c r="AA41" s="2" t="inlineStr">
        <is>
          <t>Capture must serve reflection, not accumulation. The tool's purpose is self-knowledge, not data collection.</t>
        </is>
      </c>
      <c r="AB41" s="2" t="inlineStr">
        <is>
          <t>CF-2</t>
        </is>
      </c>
      <c r="AC41" s="2" t="inlineStr">
        <is>
          <t>Digital Capture Architecture</t>
        </is>
      </c>
      <c r="AE41" s="2" t="inlineStr">
        <is>
          <t>Empirical / applied research</t>
        </is>
      </c>
      <c r="AF41" s="2" t="inlineStr">
        <is>
          <t>24 months</t>
        </is>
      </c>
      <c r="AG41" s="2" t="inlineStr">
        <is>
          <t>2026-08-13</t>
        </is>
      </c>
      <c r="AH41" s="2" t="inlineStr">
        <is>
          <t>2028-08-13</t>
        </is>
      </c>
      <c r="AI41" s="2" t="inlineStr">
        <is>
          <t>Current - re-search on schedule</t>
        </is>
      </c>
    </row>
    <row r="42">
      <c r="A42" s="2" t="inlineStr">
        <is>
          <t>A2-02</t>
        </is>
      </c>
      <c r="B42" s="2" t="inlineStr">
        <is>
          <t>Lupton — The Quantified Self</t>
        </is>
      </c>
      <c r="C42" s="4" t="inlineStr">
        <is>
          <t>https://bpb-us-e2.wpmucdn.com/sites.middlebury.edu/dist/b/5028/files/2020/02/lupton-quantified-self-ch1.pdf</t>
        </is>
      </c>
      <c r="D42" s="4" t="inlineStr">
        <is>
          <t>https://www.perlego.com/book/1536278/the-quantified-self-pdf</t>
        </is>
      </c>
      <c r="E42" s="2" t="inlineStr">
        <is>
          <t>Chapter PDF / book access options</t>
        </is>
      </c>
      <c r="F42" s="2" t="inlineStr">
        <is>
          <t>Partial readable source found</t>
        </is>
      </c>
      <c r="G42" s="2" t="inlineStr">
        <is>
          <t>Full book is a copyrighted monograph; use chapter extracts or legal library/e-book access for full charting. CHARTED 2026-08-14 batch 5b (Area 2 personal informatics; collapsed QC). Full text read (Polity 2018, ch.1).</t>
        </is>
      </c>
      <c r="H42" s="2" t="inlineStr">
        <is>
          <t>Lupton — The Quantified Self pdf DOI readable source</t>
        </is>
      </c>
      <c r="I42" s="4" t="inlineStr">
        <is>
          <t>https://www.google.com/search?q=Lupton+%E2%80%94+The+Quantified+Self+pdf+DOI+readable+source</t>
        </is>
      </c>
      <c r="J42" s="2" t="inlineStr">
        <is>
          <t>2026-08-13</t>
        </is>
      </c>
      <c r="K42" s="2" t="inlineStr">
        <is>
          <t>Charted - 2026-08-14</t>
        </is>
      </c>
      <c r="L42" s="2" t="n">
        <v>2</v>
      </c>
      <c r="M42" s="2" t="inlineStr">
        <is>
          <t>WS-F</t>
        </is>
      </c>
      <c r="N42" s="2" t="inlineStr">
        <is>
          <t>A</t>
        </is>
      </c>
      <c r="O42" s="2" t="inlineStr">
        <is>
          <t>CRITIQUE/WARNING</t>
        </is>
      </c>
      <c r="P42" s="2" t="inlineStr">
        <is>
          <t>critique</t>
        </is>
      </c>
      <c r="Q42" s="2" t="inlineStr">
        <is>
          <t>sociology</t>
        </is>
      </c>
      <c r="R42" s="2" t="inlineStr">
        <is>
          <t>conceptual</t>
        </is>
      </c>
      <c r="S42" s="2" t="inlineStr">
        <is>
          <t>high</t>
        </is>
      </c>
      <c r="T42" s="2" t="inlineStr">
        <is>
          <t>Self-tracking datafies selfhood; risks neoliberal self-management. The quantified self is not new (Franklin tracked virtues for 60 years) but digital technologies have transformed the practice. Self-tracking can represent taking control OR signify weakness/lack of self-discipline. For some, it is empowering; for others, it produces anxiety, social pressure, and a sense of being constantly monitored. The sociological critique: self-tracking embeds neoliberal ideals of optimization, productivity, and individual responsibility for health/well-being.</t>
        </is>
      </c>
      <c r="U42" s="2" t="inlineStr">
        <is>
          <t>not_quantifiable (critique). Strength = high as the CRITIQUE/WARNING row — the datafication-of-selfhood thesis is the warrant for the Anti-Extraction Audit (construct-role claim).</t>
        </is>
      </c>
      <c r="V42" s="2" t="inlineStr">
        <is>
          <t>Sociological critique, not empirical study. Chapter 1 of a book — the full argument develops across the volume. The critique is broad, not specific to particular tools or designs.</t>
        </is>
      </c>
      <c r="W42" s="2" t="inlineStr">
        <is>
          <t>If self-tracking does NOT datafy selfhood (if users experience it as playful, social, or identity-affirming), the critique overstates the neoliberal capture.</t>
        </is>
      </c>
      <c r="X42" s="2" t="inlineStr">
        <is>
          <t>no</t>
        </is>
      </c>
      <c r="Y42" s="2" t="inlineStr">
        <is>
          <t>yes</t>
        </is>
      </c>
      <c r="Z42" s="2" t="inlineStr">
        <is>
          <t>Name metric-capture and self-discipline risks. The tool must not reduce the user to a set of metrics or embed neoliberal optimization imperatives.</t>
        </is>
      </c>
      <c r="AA42" s="2" t="inlineStr">
        <is>
          <t>Numbers can displace self-knowledge. The tool must preserve the user's lived, embodied self-relation against datafication.</t>
        </is>
      </c>
      <c r="AB42" s="2" t="inlineStr">
        <is>
          <t>CF-2</t>
        </is>
      </c>
      <c r="AC42" s="2" t="inlineStr">
        <is>
          <t>Anti-Extraction Audit</t>
        </is>
      </c>
      <c r="AD42" s="2" t="inlineStr">
        <is>
          <t>OC-10</t>
        </is>
      </c>
      <c r="AE42" s="2" t="inlineStr">
        <is>
          <t>General supporting source</t>
        </is>
      </c>
      <c r="AF42" s="2" t="inlineStr">
        <is>
          <t>36 months</t>
        </is>
      </c>
      <c r="AG42" s="2" t="inlineStr">
        <is>
          <t>2026-08-13</t>
        </is>
      </c>
      <c r="AH42" s="2" t="inlineStr">
        <is>
          <t>2029-08-13</t>
        </is>
      </c>
      <c r="AI42" s="2" t="inlineStr">
        <is>
          <t>Current - re-search on schedule</t>
        </is>
      </c>
    </row>
    <row r="43">
      <c r="A43" s="2" t="inlineStr">
        <is>
          <t>A2-03</t>
        </is>
      </c>
      <c r="B43" s="2" t="inlineStr">
        <is>
          <t>Neff &amp; Nafus — Self-Tracking</t>
        </is>
      </c>
      <c r="C43" s="7" t="inlineStr">
        <is>
          <t>https://archive.org/details/selftracking0000neff</t>
        </is>
      </c>
      <c r="D43" s="7" t="inlineStr">
        <is>
          <t>https://mitpress.mit.edu/9780262529129/self-tracking/</t>
        </is>
      </c>
      <c r="E43" s="6" t="inlineStr">
        <is>
          <t>Archive.org lending-only / MIT Press landing</t>
        </is>
      </c>
      <c r="F43" s="7" t="inlineStr">
        <is>
          <t>Located - restricted readable</t>
        </is>
      </c>
      <c r="G43" s="2" t="inlineStr">
        <is>
          <t>Archive lending and MIT Press landing located. CHARTED 2026-08-14 batch 5d (Area 2 personal informatics; collapsed QC). ABSTRACT ONLY — lending-only.</t>
        </is>
      </c>
      <c r="H43" s="2" t="inlineStr">
        <is>
          <t>Neff &amp; Nafus — Self-Tracking pdf DOI readable source</t>
        </is>
      </c>
      <c r="I43" s="4" t="inlineStr">
        <is>
          <t>https://www.google.com/search?q=Neff+%26+Nafus+%E2%80%94+Self-Tracking+pdf+DOI+readable+source</t>
        </is>
      </c>
      <c r="J43" s="7" t="inlineStr">
        <is>
          <t>2026-08-13</t>
        </is>
      </c>
      <c r="K43" s="7" t="inlineStr">
        <is>
          <t>Charted - 2026-08-14</t>
        </is>
      </c>
      <c r="L43" s="2" t="n">
        <v>2</v>
      </c>
      <c r="M43" s="2" t="inlineStr">
        <is>
          <t>WS-F</t>
        </is>
      </c>
      <c r="N43" s="2" t="inlineStr">
        <is>
          <t>A</t>
        </is>
      </c>
      <c r="O43" s="2" t="inlineStr">
        <is>
          <t>CRITIQUE/DESIGN</t>
        </is>
      </c>
      <c r="P43" s="2" t="inlineStr">
        <is>
          <t>critique</t>
        </is>
      </c>
      <c r="Q43" s="2" t="inlineStr">
        <is>
          <t>STS</t>
        </is>
      </c>
      <c r="R43" s="2" t="inlineStr">
        <is>
          <t>conceptual</t>
        </is>
      </c>
      <c r="S43" s="2" t="inlineStr">
        <is>
          <t>medium</t>
        </is>
      </c>
      <c r="T43" s="2" t="inlineStr">
        <is>
          <t>Maps self-tracking practices and their social implications. The book examines how self-tracking is embedded in social contexts — not just individual optimization but cultural practice. It distinguishes self-knowledge, self-surveillance, and experiment as different modes of tracking.</t>
        </is>
      </c>
      <c r="U43" s="2" t="inlineStr">
        <is>
          <t>not_quantifiable (critique, abstract-level only). Strength = medium as the CRITIQUE/DESIGN row — the social-practices thesis is a framing resource for the Anti-Extraction Audit (construct-role claim, abstract-level caveat).</t>
        </is>
      </c>
      <c r="V43" s="2" t="inlineStr">
        <is>
          <t>Abstract/synopsis only — full text lending-only. Flagged as verification debt.</t>
        </is>
      </c>
      <c r="W43" s="2" t="inlineStr">
        <is>
          <t>If self-tracking is NOT a cultural practice (if it is purely individual), the social-practices thesis is overstated.</t>
        </is>
      </c>
      <c r="X43" s="2" t="inlineStr">
        <is>
          <t>no</t>
        </is>
      </c>
      <c r="Y43" s="2" t="inlineStr">
        <is>
          <t>partial</t>
        </is>
      </c>
      <c r="Z43" s="2" t="inlineStr">
        <is>
          <t>Distinguish self-knowledge, self-surveillance, experiment. The tool must support different modes of tracking — not just surveillance.</t>
        </is>
      </c>
      <c r="AA43" s="2" t="inlineStr">
        <is>
          <t>Tracking is a cultural practice. The cosmotechnic audit must include the cultural dimension.</t>
        </is>
      </c>
      <c r="AB43" s="2" t="inlineStr">
        <is>
          <t>CF-2</t>
        </is>
      </c>
      <c r="AC43" s="2" t="inlineStr">
        <is>
          <t>Anti-Extraction Audit</t>
        </is>
      </c>
      <c r="AE43" s="2" t="inlineStr">
        <is>
          <t>General supporting source</t>
        </is>
      </c>
      <c r="AF43" s="2" t="inlineStr">
        <is>
          <t>36 months</t>
        </is>
      </c>
      <c r="AG43" s="2" t="inlineStr">
        <is>
          <t>2026-08-13</t>
        </is>
      </c>
      <c r="AH43" s="2" t="inlineStr">
        <is>
          <t>2029-08-13</t>
        </is>
      </c>
      <c r="AI43" s="2" t="inlineStr">
        <is>
          <t>Current - located, access/fit caveat</t>
        </is>
      </c>
    </row>
    <row r="44">
      <c r="A44" s="2" t="inlineStr">
        <is>
          <t>A2-04</t>
        </is>
      </c>
      <c r="B44" s="2" t="inlineStr">
        <is>
          <t>Rapp, Cena &amp; Marcengo — QS/PI special issue editorial</t>
        </is>
      </c>
      <c r="C44" s="7" t="inlineStr">
        <is>
          <t>https://link.springer.com/content/pdf/10.1007/s00779-017-1093-x.pdf</t>
        </is>
      </c>
      <c r="D44" s="7" t="inlineStr">
        <is>
          <t>https://link.springer.com/article/10.1007/s00779-017-1093-x</t>
        </is>
      </c>
      <c r="E44" s="6" t="inlineStr">
        <is>
          <t>Springer PDF (full text)</t>
        </is>
      </c>
      <c r="F44" s="7" t="inlineStr">
        <is>
          <t>Located - readable source</t>
        </is>
      </c>
      <c r="G44" s="2" t="inlineStr">
        <is>
          <t>Readable Springer PDF located for QS/PI special issue editorial. CHARTED 2026-08-14 batch 5d (Area 2 personal informatics; collapsed QC). Full text read (Springer 2017).</t>
        </is>
      </c>
      <c r="H44" s="2" t="inlineStr">
        <is>
          <t>Rapp, Cena &amp; Marcengo — QS/PI special issue editorial pdf DOI readable source</t>
        </is>
      </c>
      <c r="I44" s="4" t="inlineStr">
        <is>
          <t>https://www.google.com/search?q=Rapp%2C+Cena+%26+Marcengo+%E2%80%94+QS%2FPI+special+issue+editorial+pdf+DOI+readable+source</t>
        </is>
      </c>
      <c r="J44" s="7" t="inlineStr">
        <is>
          <t>2026-08-13</t>
        </is>
      </c>
      <c r="K44" s="7" t="inlineStr">
        <is>
          <t>Charted - 2026-08-14</t>
        </is>
      </c>
      <c r="L44" s="2" t="n">
        <v>2</v>
      </c>
      <c r="M44" s="2" t="inlineStr">
        <is>
          <t>WS-H</t>
        </is>
      </c>
      <c r="N44" s="2" t="inlineStr">
        <is>
          <t>A</t>
        </is>
      </c>
      <c r="O44" s="2" t="inlineStr">
        <is>
          <t>REVIEW/DESIGN</t>
        </is>
      </c>
      <c r="P44" s="2" t="inlineStr">
        <is>
          <t>review</t>
        </is>
      </c>
      <c r="Q44" s="2" t="inlineStr">
        <is>
          <t>HCI/PI</t>
        </is>
      </c>
      <c r="R44" s="2" t="inlineStr">
        <is>
          <t>conceptual</t>
        </is>
      </c>
      <c r="S44" s="2" t="inlineStr">
        <is>
          <t>medium</t>
        </is>
      </c>
      <c r="T44" s="2" t="inlineStr">
        <is>
          <t>PI aims to make personal data meaningful in situated daily life. The editorial introduces a special issue on personal informatics and the quantified self, arguing that the field must move beyond data collection to situated meaning-making. The key challenge: how to make personal data useful in the context of users' actual lives, not just as abstract metrics.</t>
        </is>
      </c>
      <c r="U44" s="2" t="inlineStr">
        <is>
          <t>not_quantifiable (review). Strength = medium as the REVIEW/DESIGN row — the situated-meaning thesis is a framing resource for the Digital Capture Architecture (construct-role claim).</t>
        </is>
      </c>
      <c r="V44" s="2" t="inlineStr">
        <is>
          <t>Editorial — introduces the special issue but does not present original research. The argument is programmatic.</t>
        </is>
      </c>
      <c r="W44" s="2" t="inlineStr">
        <is>
          <t>If situated meaning-making is NOT the key challenge (if the real challenge is data quality, privacy, or engagement), the editorial's framing is off-target.</t>
        </is>
      </c>
      <c r="X44" s="2" t="inlineStr">
        <is>
          <t>partial</t>
        </is>
      </c>
      <c r="Y44" s="2" t="inlineStr">
        <is>
          <t>partial</t>
        </is>
      </c>
      <c r="Z44" s="2" t="inlineStr">
        <is>
          <t>Situated usefulness over total capture. The tool must prioritize usefulness in the user's actual life context over comprehensive data collection.</t>
        </is>
      </c>
      <c r="AA44" s="2" t="inlineStr">
        <is>
          <t>Meaning in context, not raw data. The cosmotechnic audit must assess whether the tool produces situated meaning.</t>
        </is>
      </c>
      <c r="AB44" s="2" t="inlineStr">
        <is>
          <t>CF-2</t>
        </is>
      </c>
      <c r="AC44" s="2" t="inlineStr">
        <is>
          <t>Digital Capture Architecture</t>
        </is>
      </c>
      <c r="AE44" s="2" t="inlineStr">
        <is>
          <t>Empirical / applied research</t>
        </is>
      </c>
      <c r="AF44" s="2" t="inlineStr">
        <is>
          <t>24 months</t>
        </is>
      </c>
      <c r="AG44" s="2" t="inlineStr">
        <is>
          <t>2026-08-13</t>
        </is>
      </c>
      <c r="AH44" s="2" t="inlineStr">
        <is>
          <t>2028-08-13</t>
        </is>
      </c>
      <c r="AI44" s="2" t="inlineStr">
        <is>
          <t>Current - re-search on schedule</t>
        </is>
      </c>
    </row>
    <row r="45">
      <c r="A45" s="2" t="inlineStr">
        <is>
          <t>A2-05</t>
        </is>
      </c>
      <c r="B45" s="2" t="inlineStr">
        <is>
          <t>Grinberg — Ethnography of an Interface</t>
        </is>
      </c>
      <c r="C45" s="7" t="inlineStr">
        <is>
          <t>https://www.cambridge.org/core/books/ethnography-of-an-interface/2F0A3EDF02855E14AEDCF64F600A31AA</t>
        </is>
      </c>
      <c r="D45" s="7" t="inlineStr">
        <is>
          <t>https://www.cambridge.org/core/books/ethnography-of-an-interface/2F0A3EDF02855E14AEDCF64F600A31AA</t>
        </is>
      </c>
      <c r="E45" s="6" t="inlineStr">
        <is>
          <t>Cambridge Core landing only</t>
        </is>
      </c>
      <c r="F45" s="7" t="inlineStr">
        <is>
          <t>Located - source landing (replacement verified 2026-08-13; full text needs access)</t>
        </is>
      </c>
      <c r="G45" s="2" t="inlineStr">
        <is>
          <t>Readable repository PDF located; verify exact ethnography/interface match during charting.; REPLACEMENT 2026-08-13: original link 404. Row is Grinberg 2025 Cambridge UP book (Ethnography of an Interface). Cambridge Core landing verified (HTTP 200); preview chapters available, full text institutional. CHARTED 2026-08-14 batch 5d (Area 2 personal informatics; collapsed QC). ABSTRACT ONLY — full text not open.</t>
        </is>
      </c>
      <c r="H45" s="2" t="inlineStr">
        <is>
          <t>Grinberg — Ethnography of an Interface pdf DOI readable source</t>
        </is>
      </c>
      <c r="I45" s="4" t="inlineStr">
        <is>
          <t>https://www.google.com/search?q=Grinberg+%E2%80%94+Ethnography+of+an+Interface+pdf+DOI+readable+source</t>
        </is>
      </c>
      <c r="J45" s="7" t="inlineStr">
        <is>
          <t>2026-08-13</t>
        </is>
      </c>
      <c r="K45" s="7" t="inlineStr">
        <is>
          <t>Charted - 2026-08-14</t>
        </is>
      </c>
      <c r="L45" s="2" t="n">
        <v>2</v>
      </c>
      <c r="M45" s="2" t="inlineStr">
        <is>
          <t>WS-F</t>
        </is>
      </c>
      <c r="N45" s="2" t="inlineStr">
        <is>
          <t>A</t>
        </is>
      </c>
      <c r="O45" s="2" t="inlineStr">
        <is>
          <t>CRITIQUE/CONTEXT</t>
        </is>
      </c>
      <c r="P45" s="2" t="inlineStr">
        <is>
          <t>empirical</t>
        </is>
      </c>
      <c r="Q45" s="2" t="inlineStr">
        <is>
          <t>anthropology</t>
        </is>
      </c>
      <c r="R45" s="2" t="inlineStr">
        <is>
          <t>correlational</t>
        </is>
      </c>
      <c r="S45" s="2" t="inlineStr">
        <is>
          <t>medium</t>
        </is>
      </c>
      <c r="T45" s="2" t="inlineStr">
        <is>
          <t>QS as culture of personal data and digital connection. The book is an ethnographic study of how personal data practices are embedded in social and cultural contexts. It examines how interfaces shape self-relation.</t>
        </is>
      </c>
      <c r="U45" s="2" t="inlineStr">
        <is>
          <t>not_quantifiable (empirical, abstract-level only). Strength = medium as the CRITIQUE/CONTEXT row — the ethnographic thesis is a framing resource for the Anti-Extraction Audit (construct-role claim, abstract-level caveat).</t>
        </is>
      </c>
      <c r="V45" s="2" t="inlineStr">
        <is>
          <t>Abstract/synopsis only — full text not open. Flagged as verification debt.</t>
        </is>
      </c>
      <c r="W45" s="2" t="inlineStr">
        <is>
          <t>If interfaces do NOT shape self-relation (if they are neutral tools), the ethnographic thesis is overstated.</t>
        </is>
      </c>
      <c r="X45" s="2" t="inlineStr">
        <is>
          <t>no</t>
        </is>
      </c>
      <c r="Y45" s="2" t="inlineStr">
        <is>
          <t>partial</t>
        </is>
      </c>
      <c r="Z45" s="2" t="inlineStr">
        <is>
          <t>See tracking as social/technical, not neutral. The tool must be designed with awareness of how it shapes the user's self-relation.</t>
        </is>
      </c>
      <c r="AA45" s="2" t="inlineStr">
        <is>
          <t>Interfaces shape self-relation. The cosmotechnic audit must include the interface dimension.</t>
        </is>
      </c>
      <c r="AB45" s="2" t="inlineStr">
        <is>
          <t>CF-2</t>
        </is>
      </c>
      <c r="AC45" s="2" t="inlineStr">
        <is>
          <t>Anti-Extraction Audit</t>
        </is>
      </c>
      <c r="AE45" s="2" t="inlineStr">
        <is>
          <t>Empirical / applied research</t>
        </is>
      </c>
      <c r="AF45" s="2" t="inlineStr">
        <is>
          <t>24 months</t>
        </is>
      </c>
      <c r="AG45" s="2" t="inlineStr">
        <is>
          <t>2026-08-13</t>
        </is>
      </c>
      <c r="AH45" s="2" t="inlineStr">
        <is>
          <t>2028-08-13</t>
        </is>
      </c>
      <c r="AI45" s="2" t="inlineStr">
        <is>
          <t>Current - re-search on schedule</t>
        </is>
      </c>
    </row>
    <row r="46">
      <c r="A46" s="2" t="inlineStr">
        <is>
          <t>A2-06</t>
        </is>
      </c>
      <c r="B46" s="2" t="inlineStr">
        <is>
          <t>Sharon — Self-Tracking for Health and the QS</t>
        </is>
      </c>
      <c r="C46" s="7" t="inlineStr">
        <is>
          <t>https://www.academia.edu/9958013/Self_Tracking_for_Health_and_the_Quantified_Self_Re_articulating_Autonomy_Solidarity_and_Authenticity_in_an_Age_of_Personalized_Healthcare</t>
        </is>
      </c>
      <c r="D46" s="7" t="inlineStr">
        <is>
          <t>https://doi.org/10.1007/s10676-016-9405-0</t>
        </is>
      </c>
      <c r="E46" s="6" t="inlineStr">
        <is>
          <t>Academia/DOI landing only</t>
        </is>
      </c>
      <c r="F46" s="7" t="inlineStr">
        <is>
          <t>Located - gated or account source</t>
        </is>
      </c>
      <c r="G46" s="2" t="inlineStr">
        <is>
          <t>Source located; full text may require institution/account or publisher access. CHARTED 2026-08-14 batch 5d (Area 2 personal informatics; collapsed QC). ABSTRACT ONLY — full text not open.</t>
        </is>
      </c>
      <c r="H46" s="2" t="inlineStr">
        <is>
          <t>Sharon — Self-Tracking for Health and the QS pdf DOI readable source</t>
        </is>
      </c>
      <c r="I46" s="4" t="inlineStr">
        <is>
          <t>https://www.google.com/search?q=Sharon+%E2%80%94+Self-Tracking+for+Health+and+the+QS+pdf+DOI+readable+source</t>
        </is>
      </c>
      <c r="J46" s="7" t="inlineStr">
        <is>
          <t>2026-08-13</t>
        </is>
      </c>
      <c r="K46" s="7" t="inlineStr">
        <is>
          <t>Charted - 2026-08-14</t>
        </is>
      </c>
      <c r="L46" s="2" t="n">
        <v>2</v>
      </c>
      <c r="M46" s="2" t="inlineStr">
        <is>
          <t>WS-F</t>
        </is>
      </c>
      <c r="N46" s="2" t="inlineStr">
        <is>
          <t>A</t>
        </is>
      </c>
      <c r="O46" s="2" t="inlineStr">
        <is>
          <t>CRITIQUE/ETHICS</t>
        </is>
      </c>
      <c r="P46" s="2" t="inlineStr">
        <is>
          <t>critique</t>
        </is>
      </c>
      <c r="Q46" s="2" t="inlineStr">
        <is>
          <t>ethics/STS</t>
        </is>
      </c>
      <c r="R46" s="2" t="inlineStr">
        <is>
          <t>conceptual</t>
        </is>
      </c>
      <c r="S46" s="2" t="inlineStr">
        <is>
          <t>medium</t>
        </is>
      </c>
      <c r="T46" s="2" t="inlineStr">
        <is>
          <t>Does self-tracking empower or discipline the self? The article examines the ethical tension at the heart of self-tracking: it can be experienced as empowerment (taking control) or as discipline (being controlled by metrics). The ethical boundary for state/productivity tracking is a key concern.</t>
        </is>
      </c>
      <c r="U46" s="2" t="inlineStr">
        <is>
          <t>not_quantifiable (critique, abstract-level only). Strength = medium as the CRITIQUE/ETHICS row — the empowerment-discipline tension is a framing resource for the Cosmotechnic Audit Card (construct-role claim, abstract-level caveat).</t>
        </is>
      </c>
      <c r="V46" s="2" t="inlineStr">
        <is>
          <t>Abstract/synopsis only — full text not open. Flagged as verification debt.</t>
        </is>
      </c>
      <c r="W46" s="2" t="inlineStr">
        <is>
          <t>If self-tracking is NOT experienced as either empowerment or discipline (if it is experienced as something else entirely), the ethical framework is incomplete.</t>
        </is>
      </c>
      <c r="X46" s="2" t="inlineStr">
        <is>
          <t>no</t>
        </is>
      </c>
      <c r="Y46" s="2" t="inlineStr">
        <is>
          <t>yes</t>
        </is>
      </c>
      <c r="Z46" s="2" t="inlineStr">
        <is>
          <t>Ethical boundary for state/productivity tracking. The tool must be designed with awareness of the empowerment-discipline tension.</t>
        </is>
      </c>
      <c r="AA46" s="2" t="inlineStr">
        <is>
          <t>Empowerment vs discipline. The cosmotechnic audit must assess whether the tool empowers or disciplines the user.</t>
        </is>
      </c>
      <c r="AB46" s="2" t="inlineStr">
        <is>
          <t>CF-2</t>
        </is>
      </c>
      <c r="AC46" s="2" t="inlineStr">
        <is>
          <t>Cosmotechnic Audit Card</t>
        </is>
      </c>
      <c r="AE46" s="2" t="inlineStr">
        <is>
          <t>General supporting source</t>
        </is>
      </c>
      <c r="AF46" s="2" t="inlineStr">
        <is>
          <t>36 months</t>
        </is>
      </c>
      <c r="AG46" s="2" t="inlineStr">
        <is>
          <t>2026-08-13</t>
        </is>
      </c>
      <c r="AH46" s="2" t="inlineStr">
        <is>
          <t>2029-08-13</t>
        </is>
      </c>
      <c r="AI46" s="2" t="inlineStr">
        <is>
          <t>Current - re-search on schedule</t>
        </is>
      </c>
    </row>
    <row r="47">
      <c r="A47" s="2" t="inlineStr">
        <is>
          <t>A2-07</t>
        </is>
      </c>
      <c r="B47" s="2" t="inlineStr">
        <is>
          <t>Whittaker — critiques of QS/personal informatics</t>
        </is>
      </c>
      <c r="C47" s="7" t="inlineStr">
        <is>
          <t>https://external.dandelon.com/download/attachments/dandelon/ids/CH001C626918F45F6881DC1258006003EC0A8.pdf</t>
        </is>
      </c>
      <c r="D47" s="7" t="inlineStr">
        <is>
          <t>https://www.politybooks.com/bookdetail?book_slug=the-quantified-self--9781509500611</t>
        </is>
      </c>
      <c r="E47" s="6" t="inlineStr">
        <is>
          <t>Dandelon preview PDF + Polity landing</t>
        </is>
      </c>
      <c r="F47" s="7" t="inlineStr">
        <is>
          <t>Located - partial source</t>
        </is>
      </c>
      <c r="G47" s="2" t="inlineStr">
        <is>
          <t>Priority B pass: core critique source located around QS critique; check whether row label needs Whittaker→Lupton correction. CHARTED 2026-08-14 batch 5d (Area 2 personal informatics; collapsed QC). ABSTRACT ONLY — full text not open.</t>
        </is>
      </c>
      <c r="H47" s="2" t="inlineStr">
        <is>
          <t>Whittaker — critiques of QS/personal informatics pdf DOI readable source</t>
        </is>
      </c>
      <c r="I47" s="4" t="inlineStr">
        <is>
          <t>https://www.google.com/search?q=Whittaker+%E2%80%94+critiques+of+QS%2Fpersonal+informatics+pdf+DOI+readable+source</t>
        </is>
      </c>
      <c r="J47" s="7" t="inlineStr">
        <is>
          <t>2026-08-13</t>
        </is>
      </c>
      <c r="K47" s="7" t="inlineStr">
        <is>
          <t>Charted - 2026-08-14</t>
        </is>
      </c>
      <c r="L47" s="2" t="n">
        <v>2</v>
      </c>
      <c r="M47" s="2" t="inlineStr">
        <is>
          <t>WS-F</t>
        </is>
      </c>
      <c r="N47" s="2" t="inlineStr">
        <is>
          <t>B</t>
        </is>
      </c>
      <c r="O47" s="2" t="inlineStr">
        <is>
          <t>CRITIQUE/DESIGN</t>
        </is>
      </c>
      <c r="P47" s="2" t="inlineStr">
        <is>
          <t>critique</t>
        </is>
      </c>
      <c r="Q47" s="2" t="inlineStr">
        <is>
          <t>HCI</t>
        </is>
      </c>
      <c r="R47" s="2" t="inlineStr">
        <is>
          <t>conceptual</t>
        </is>
      </c>
      <c r="S47" s="2" t="inlineStr">
        <is>
          <t>medium</t>
        </is>
      </c>
      <c r="T47" s="2" t="inlineStr">
        <is>
          <t>QS can be over-analytic, rationalistic, and authoritative. The critique argues that self-tracking can impose an overly rationalistic framework on lived experience, failing to capture the embodied, emotional, and social dimensions of life.</t>
        </is>
      </c>
      <c r="U47" s="2" t="inlineStr">
        <is>
          <t>not_quantifiable (critique, abstract-level only). Strength = medium as the CRITIQUE/DESIGN row — the over-analytic critique is a framing resource for the Phenomenological Registration Sheet (construct-role claim, abstract-level caveat).</t>
        </is>
      </c>
      <c r="V47" s="2" t="inlineStr">
        <is>
          <t>Abstract/synopsis only — full text not open. Flagged as verification debt.</t>
        </is>
      </c>
      <c r="W47" s="2" t="inlineStr">
        <is>
          <t>If QS is NOT over-analytic (if it successfully captures embodied, emotional, social dimensions), the critique is overstated.</t>
        </is>
      </c>
      <c r="X47" s="2" t="inlineStr">
        <is>
          <t>no</t>
        </is>
      </c>
      <c r="Y47" s="2" t="inlineStr">
        <is>
          <t>partial</t>
        </is>
      </c>
      <c r="Z47" s="2" t="inlineStr">
        <is>
          <t>Avoid over-analytic capture that fails lived practice. The tool must not reduce the user's life to metrics.</t>
        </is>
      </c>
      <c r="AA47" s="2" t="inlineStr">
        <is>
          <t>Analysis can overrun experience. The cosmotechnic audit must assess whether the tool's analysis serves or erodes lived experience.</t>
        </is>
      </c>
      <c r="AB47" s="2" t="inlineStr">
        <is>
          <t>CF-2</t>
        </is>
      </c>
      <c r="AC47" s="2" t="inlineStr">
        <is>
          <t>Phenomenological Registration Sheet</t>
        </is>
      </c>
      <c r="AE47" s="2" t="inlineStr">
        <is>
          <t>Empirical / applied research</t>
        </is>
      </c>
      <c r="AF47" s="2" t="inlineStr">
        <is>
          <t>24 months</t>
        </is>
      </c>
      <c r="AG47" s="2" t="inlineStr">
        <is>
          <t>2026-08-13</t>
        </is>
      </c>
      <c r="AH47" s="2" t="inlineStr">
        <is>
          <t>2028-08-13</t>
        </is>
      </c>
      <c r="AI47" s="2" t="inlineStr">
        <is>
          <t>Current - re-search on schedule</t>
        </is>
      </c>
    </row>
    <row r="48">
      <c r="A48" s="2" t="inlineStr">
        <is>
          <t>A2-08</t>
        </is>
      </c>
      <c r="B48" s="2" t="inlineStr">
        <is>
          <t>Rapp &amp; Tirassa — PI for sport and healthy behavior</t>
        </is>
      </c>
      <c r="C48" s="7" t="inlineStr">
        <is>
          <t>https://iris.unito.it/retrieve/handle/2318/1679773/447148/POST-PRINT.pdf</t>
        </is>
      </c>
      <c r="D48" s="7" t="inlineStr">
        <is>
          <t>https://doi.org/10.1145/3196829</t>
        </is>
      </c>
      <c r="E48" s="6" t="inlineStr">
        <is>
          <t>IRIS postprint (full text)</t>
        </is>
      </c>
      <c r="F48" s="7" t="inlineStr">
        <is>
          <t>Located - readable source</t>
        </is>
      </c>
      <c r="G48" s="2" t="inlineStr">
        <is>
          <t>Priority B pass: open postprint located. CHARTED 2026-08-14 batch 5d (Area 2 personal informatics; collapsed QC). Full text read (ACM 2018).</t>
        </is>
      </c>
      <c r="H48" s="2" t="inlineStr">
        <is>
          <t>Rapp &amp; Tirassa — PI for sport and healthy behavior pdf DOI readable source</t>
        </is>
      </c>
      <c r="I48" s="4" t="inlineStr">
        <is>
          <t>https://www.google.com/search?q=Rapp+%26+Tirassa+%E2%80%94+PI+for+sport+and+healthy+behavior+pdf+DOI+readable+source</t>
        </is>
      </c>
      <c r="J48" s="7" t="inlineStr">
        <is>
          <t>2026-08-13</t>
        </is>
      </c>
      <c r="K48" s="7" t="inlineStr">
        <is>
          <t>Charted - 2026-08-14</t>
        </is>
      </c>
      <c r="L48" s="2" t="n">
        <v>2</v>
      </c>
      <c r="M48" s="2" t="inlineStr">
        <is>
          <t>WS-H</t>
        </is>
      </c>
      <c r="N48" s="2" t="inlineStr">
        <is>
          <t>B</t>
        </is>
      </c>
      <c r="O48" s="2" t="inlineStr">
        <is>
          <t>DESIGN/MECHANISM</t>
        </is>
      </c>
      <c r="P48" s="2" t="inlineStr">
        <is>
          <t>theoretical</t>
        </is>
      </c>
      <c r="Q48" s="2" t="inlineStr">
        <is>
          <t>HCI/PI</t>
        </is>
      </c>
      <c r="R48" s="2" t="inlineStr">
        <is>
          <t>conceptual</t>
        </is>
      </c>
      <c r="S48" s="2" t="inlineStr">
        <is>
          <t>low</t>
        </is>
      </c>
      <c r="T48" s="2" t="inlineStr">
        <is>
          <t>Translating PI into behavior change while watching limits. The paper interviews 20 amateur and elite athletes using PI devices. Key findings: amateur and elite athletes have different usage patterns; elite athletes make sense of data using pre-existing knowledge of their own body and sport practice. Design considerations: support situated meaning-making, respect pre-existing expertise, watch the limits of behavior-change translation.</t>
        </is>
      </c>
      <c r="U48" s="2" t="inlineStr">
        <is>
          <t>not_quantifiable (theoretical, N=20). Strength = low-medium as the DESIGN/MECHANISM row — the sport-PI thesis is a framing resource for the Intervention Component Library (construct-role claim).</t>
        </is>
      </c>
      <c r="V48" s="2" t="inlineStr">
        <is>
          <t>Qualitative study (N=20) — generalizability uncertain. The sport domain is specific — transfer to other domains is not automatic.</t>
        </is>
      </c>
      <c r="W48" s="2" t="inlineStr">
        <is>
          <t>If elite athletes do NOT make sense of data using pre-existing knowledge (if they rely solely on the device), the expertise thesis fails.</t>
        </is>
      </c>
      <c r="X48" s="2" t="inlineStr">
        <is>
          <t>partial</t>
        </is>
      </c>
      <c r="Y48" s="2" t="inlineStr">
        <is>
          <t>partial</t>
        </is>
      </c>
      <c r="Z48" s="2" t="inlineStr">
        <is>
          <t>Behavior-change translation. The tool must support the translation of data into behavior change while respecting the user's pre-existing expertise.</t>
        </is>
      </c>
      <c r="AA48" s="2" t="inlineStr">
        <is>
          <t>Watch the limits. The cosmotechnic audit must assess whether the tool respects or overrides the user's expertise.</t>
        </is>
      </c>
      <c r="AC48" s="2" t="inlineStr">
        <is>
          <t>Intervention Component Library</t>
        </is>
      </c>
      <c r="AE48" s="2" t="inlineStr">
        <is>
          <t>Empirical / applied research</t>
        </is>
      </c>
      <c r="AF48" s="2" t="inlineStr">
        <is>
          <t>24 months</t>
        </is>
      </c>
      <c r="AG48" s="2" t="inlineStr">
        <is>
          <t>2026-08-13</t>
        </is>
      </c>
      <c r="AH48" s="2" t="inlineStr">
        <is>
          <t>2028-08-13</t>
        </is>
      </c>
      <c r="AI48" s="2" t="inlineStr">
        <is>
          <t>Current - re-search on schedule</t>
        </is>
      </c>
    </row>
    <row r="49">
      <c r="A49" s="2" t="inlineStr">
        <is>
          <t>A2-09</t>
        </is>
      </c>
      <c r="B49" s="2" t="inlineStr">
        <is>
          <t>Elsden et al. — making sense of personal data</t>
        </is>
      </c>
      <c r="C49" s="7" t="inlineStr">
        <is>
          <t>https://elsden.me/publications/</t>
        </is>
      </c>
      <c r="D49" s="7" t="inlineStr">
        <is>
          <t>https://dl.acm.org/doi/10.1145/2858036.2858403</t>
        </is>
      </c>
      <c r="E49" s="6" t="inlineStr">
        <is>
          <t>Author publications + ACM DL landing</t>
        </is>
      </c>
      <c r="F49" s="7" t="inlineStr">
        <is>
          <t>Located - landing source</t>
        </is>
      </c>
      <c r="G49" s="2" t="inlineStr">
        <is>
          <t>Priority B pass: author publication page and DOI located; needs exact full-text retrieval next. CHARTED 2026-08-14 batch 5d (Area 2 personal informatics; collapsed QC). ABSTRACT ONLY — full text not open.</t>
        </is>
      </c>
      <c r="H49" s="2" t="inlineStr">
        <is>
          <t>Elsden et al. — making sense of personal data pdf DOI readable source</t>
        </is>
      </c>
      <c r="I49" s="4" t="inlineStr">
        <is>
          <t>https://www.google.com/search?q=Elsden+et+al.+%E2%80%94+making+sense+of+personal+data+pdf+DOI+readable+source</t>
        </is>
      </c>
      <c r="J49" s="7" t="inlineStr">
        <is>
          <t>2026-08-13</t>
        </is>
      </c>
      <c r="K49" s="7" t="inlineStr">
        <is>
          <t>Charted - 2026-08-14</t>
        </is>
      </c>
      <c r="L49" s="2" t="n">
        <v>2</v>
      </c>
      <c r="M49" s="2" t="inlineStr">
        <is>
          <t>WS-F</t>
        </is>
      </c>
      <c r="N49" s="2" t="inlineStr">
        <is>
          <t>B</t>
        </is>
      </c>
      <c r="O49" s="2" t="inlineStr">
        <is>
          <t>DESIGN/CRITIQUE</t>
        </is>
      </c>
      <c r="P49" s="2" t="inlineStr">
        <is>
          <t>empirical</t>
        </is>
      </c>
      <c r="Q49" s="2" t="inlineStr">
        <is>
          <t>HCI</t>
        </is>
      </c>
      <c r="R49" s="2" t="inlineStr">
        <is>
          <t>correlational</t>
        </is>
      </c>
      <c r="S49" s="2" t="inlineStr">
        <is>
          <t>low</t>
        </is>
      </c>
      <c r="T49" s="2" t="inlineStr">
        <is>
          <t>Plural, experiential interpretations of personal data. The paper examines how users interpret personal data in diverse, experiential ways — not just as objective metrics but as meaningful narratives. The design implication: support plural data interpretation.</t>
        </is>
      </c>
      <c r="U49" s="2" t="inlineStr">
        <is>
          <t>not_quantifiable (empirical, abstract-level only). Strength = low-medium as the DESIGN/CRITIQUE row — the plural-interpretation thesis is a framing resource for the Phenomenological Registration Sheet (construct-role claim, abstract-level caveat).</t>
        </is>
      </c>
      <c r="V49" s="2" t="inlineStr">
        <is>
          <t>Abstract/synopsis only — full text not open. Flagged as verification debt.</t>
        </is>
      </c>
      <c r="W49" s="2" t="inlineStr">
        <is>
          <t>If users do NOT interpret data in plural ways (if they treat it as objective fact), the plural-interpretation thesis is overstated.</t>
        </is>
      </c>
      <c r="X49" s="2" t="inlineStr">
        <is>
          <t>no</t>
        </is>
      </c>
      <c r="Y49" s="2" t="inlineStr">
        <is>
          <t>partial</t>
        </is>
      </c>
      <c r="Z49" s="2" t="inlineStr">
        <is>
          <t>Support plural data interpretation. The tool must allow users to interpret their data in multiple ways, not just one 'correct' interpretation.</t>
        </is>
      </c>
      <c r="AA49" s="2" t="inlineStr">
        <is>
          <t>Data is interpreted, not given. The cosmotechnic audit must include the interpretive dimension.</t>
        </is>
      </c>
      <c r="AB49" s="2" t="inlineStr">
        <is>
          <t>CF-2</t>
        </is>
      </c>
      <c r="AC49" s="2" t="inlineStr">
        <is>
          <t>Phenomenological Registration Sheet</t>
        </is>
      </c>
      <c r="AE49" s="2" t="inlineStr">
        <is>
          <t>Empirical / applied research</t>
        </is>
      </c>
      <c r="AF49" s="2" t="inlineStr">
        <is>
          <t>24 months</t>
        </is>
      </c>
      <c r="AG49" s="2" t="inlineStr">
        <is>
          <t>2026-08-13</t>
        </is>
      </c>
      <c r="AH49" s="2" t="inlineStr">
        <is>
          <t>2028-08-13</t>
        </is>
      </c>
      <c r="AI49" s="2" t="inlineStr">
        <is>
          <t>Current - re-search on schedule</t>
        </is>
      </c>
    </row>
    <row r="50">
      <c r="A50" s="2" t="inlineStr">
        <is>
          <t>A2-10</t>
        </is>
      </c>
      <c r="B50" s="2" t="inlineStr">
        <is>
          <t>Selke — Lifelogging</t>
        </is>
      </c>
      <c r="C50" s="7" t="inlineStr">
        <is>
          <t>https://link.springer.com/content/pdf/10.1007/978-3-658-10416-0.pdf</t>
        </is>
      </c>
      <c r="D50" s="7" t="inlineStr">
        <is>
          <t>https://link.springer.com/book/10.1007/978-3-658-10416-0</t>
        </is>
      </c>
      <c r="E50" s="6" t="inlineStr">
        <is>
          <t>Springer PDF (full text)</t>
        </is>
      </c>
      <c r="F50" s="7" t="inlineStr">
        <is>
          <t>Located - readable source</t>
        </is>
      </c>
      <c r="G50" s="2" t="inlineStr">
        <is>
          <t>Priority B pass: Springer PDF located. CHARTED 2026-08-14 batch 5d (Area 2 personal informatics; collapsed QC). Full text read (Springer 2016).</t>
        </is>
      </c>
      <c r="H50" s="2" t="inlineStr">
        <is>
          <t>Selke — Lifelogging pdf DOI readable source</t>
        </is>
      </c>
      <c r="I50" s="4" t="inlineStr">
        <is>
          <t>https://www.google.com/search?q=Selke+%E2%80%94+Lifelogging+pdf+DOI+readable+source</t>
        </is>
      </c>
      <c r="J50" s="7" t="inlineStr">
        <is>
          <t>2026-08-13</t>
        </is>
      </c>
      <c r="K50" s="7" t="inlineStr">
        <is>
          <t>Charted - 2026-08-14</t>
        </is>
      </c>
      <c r="L50" s="2" t="n">
        <v>2</v>
      </c>
      <c r="M50" s="2" t="inlineStr">
        <is>
          <t>WS-H</t>
        </is>
      </c>
      <c r="N50" s="2" t="inlineStr">
        <is>
          <t>B</t>
        </is>
      </c>
      <c r="O50" s="2" t="inlineStr">
        <is>
          <t>CRITIQUE/CONTEXT</t>
        </is>
      </c>
      <c r="P50" s="2" t="inlineStr">
        <is>
          <t>review</t>
        </is>
      </c>
      <c r="Q50" s="2" t="inlineStr">
        <is>
          <t>media studies</t>
        </is>
      </c>
      <c r="R50" s="2" t="inlineStr">
        <is>
          <t>conceptual</t>
        </is>
      </c>
      <c r="S50" s="2" t="inlineStr">
        <is>
          <t>low</t>
        </is>
      </c>
      <c r="T50" s="2" t="inlineStr">
        <is>
          <t>Surveillance and identity implications of total capture. The book examines lifelogging — the practice of total digital capture of daily life — and its implications for surveillance, identity, and selfhood. Total capture erodes selfhood by reducing the person to a data archive.</t>
        </is>
      </c>
      <c r="U50" s="2" t="inlineStr">
        <is>
          <t>not_quantifiable (review). Strength = low-medium as the CRITIQUE/CONTEXT row — the surveillance-identity thesis is a framing resource for the Anti-Extraction Audit (construct-role claim).</t>
        </is>
      </c>
      <c r="V50" s="2" t="inlineStr">
        <is>
          <t>Book — the argument is broad and not empirically tested. The critique is speculative.</t>
        </is>
      </c>
      <c r="W50" s="2" t="inlineStr">
        <is>
          <t>If total capture does NOT erode selfhood (if it enhances identity), the critique is overstated.</t>
        </is>
      </c>
      <c r="X50" s="2" t="inlineStr">
        <is>
          <t>no</t>
        </is>
      </c>
      <c r="Y50" s="2" t="inlineStr">
        <is>
          <t>partial</t>
        </is>
      </c>
      <c r="Z50" s="2" t="inlineStr">
        <is>
          <t>Surveillance caution. The tool must not reduce the user to a data archive or enable total surveillance.</t>
        </is>
      </c>
      <c r="AA50" s="2" t="inlineStr">
        <is>
          <t>Total capture erodes selfhood. The cosmotechnic audit must include the surveillance dimension.</t>
        </is>
      </c>
      <c r="AB50" s="2" t="inlineStr">
        <is>
          <t>CF-2</t>
        </is>
      </c>
      <c r="AC50" s="2" t="inlineStr">
        <is>
          <t>Anti-Extraction Audit</t>
        </is>
      </c>
      <c r="AD50" s="2" t="inlineStr">
        <is>
          <t>OC-10</t>
        </is>
      </c>
      <c r="AE50" s="2" t="inlineStr">
        <is>
          <t>Empirical / applied research</t>
        </is>
      </c>
      <c r="AF50" s="2" t="inlineStr">
        <is>
          <t>24 months</t>
        </is>
      </c>
      <c r="AG50" s="2" t="inlineStr">
        <is>
          <t>2026-08-13</t>
        </is>
      </c>
      <c r="AH50" s="2" t="inlineStr">
        <is>
          <t>2028-08-13</t>
        </is>
      </c>
      <c r="AI50" s="2" t="inlineStr">
        <is>
          <t>Current - re-search on schedule</t>
        </is>
      </c>
    </row>
    <row r="51">
      <c r="A51" s="2" t="inlineStr">
        <is>
          <t>A3-01</t>
        </is>
      </c>
      <c r="B51" s="2" t="inlineStr">
        <is>
          <t>Limerick, Coyle &amp; Moore — Experience of Agency in HCI (review)</t>
        </is>
      </c>
      <c r="C51" s="4" t="inlineStr">
        <is>
          <t>https://pmc.ncbi.nlm.nih.gov/articles/PMC4140386/</t>
        </is>
      </c>
      <c r="D51" s="4" t="inlineStr">
        <is>
          <t>https://research.gold.ac.uk/id/eprint/11426/</t>
        </is>
      </c>
      <c r="E51" s="2" t="inlineStr">
        <is>
          <t>Open full text / PMC</t>
        </is>
      </c>
      <c r="F51" s="2" t="inlineStr">
        <is>
          <t>Readable source found</t>
        </is>
      </c>
      <c r="G51" s="2" t="inlineStr">
        <is>
          <t>Frontiers in Human Neuroscience 2014, DOI 10.3389/fnhum.2014.00643. CHARTED 2026-08-14 batch 5b (Area 3 agency/autonomy; collapsed QC). ABSTRACT ONLY — full text needed for upgrade.</t>
        </is>
      </c>
      <c r="H51" s="2" t="inlineStr">
        <is>
          <t>Limerick, Coyle &amp; Moore — Experience of Agency in HCI (review) pdf DOI readable source</t>
        </is>
      </c>
      <c r="I51" s="4" t="inlineStr">
        <is>
          <t>https://www.google.com/search?q=Limerick%2C+Coyle+%26+Moore+%E2%80%94+Experience+of+Agency+in+HCI+%28review%29+pdf+DOI+readable+source</t>
        </is>
      </c>
      <c r="J51" s="2" t="inlineStr">
        <is>
          <t>2026-08-13</t>
        </is>
      </c>
      <c r="K51" s="2" t="inlineStr">
        <is>
          <t>Charted - 2026-08-14</t>
        </is>
      </c>
      <c r="L51" s="2" t="n">
        <v>3</v>
      </c>
      <c r="M51" s="2" t="inlineStr">
        <is>
          <t>WS-F</t>
        </is>
      </c>
      <c r="N51" s="2" t="inlineStr">
        <is>
          <t>A</t>
        </is>
      </c>
      <c r="O51" s="2" t="inlineStr">
        <is>
          <t>MECHANISM/MEASURE/ETHICS</t>
        </is>
      </c>
      <c r="P51" s="2" t="inlineStr">
        <is>
          <t>review</t>
        </is>
      </c>
      <c r="Q51" s="2" t="inlineStr">
        <is>
          <t>HCI</t>
        </is>
      </c>
      <c r="R51" s="2" t="inlineStr">
        <is>
          <t>conceptual</t>
        </is>
      </c>
      <c r="S51" s="2" t="inlineStr">
        <is>
          <t>high</t>
        </is>
      </c>
      <c r="T51" s="2" t="inlineStr">
        <is>
          <t>Sense of agency in HCI links control, feedback, assistance, and ethics. The review examines how agency is experienced in human-computer interaction, with implications for the design of assistive and interactive technologies.</t>
        </is>
      </c>
      <c r="U51" s="2" t="inlineStr">
        <is>
          <t>not_quantifiable (review, abstract-level only). Strength = high as the MECHANISM/MEASURE/ETHICS row — the agency-in-HCI thesis is the warrant for the Agency &amp; Autonomy Checklist (construct-role claim, abstract-level caveat).</t>
        </is>
      </c>
      <c r="V51" s="2" t="inlineStr">
        <is>
          <t>Abstract/synopsis only — full text not in front of me. Flagged as verification debt.</t>
        </is>
      </c>
      <c r="W51" s="2" t="inlineStr">
        <is>
          <t>If sense of agency is NOT designable or measurable (if it is purely a subjective, non-manipulable experience), the design implications collapse.</t>
        </is>
      </c>
      <c r="X51" s="2" t="inlineStr">
        <is>
          <t>partial</t>
        </is>
      </c>
      <c r="Y51" s="2" t="inlineStr">
        <is>
          <t>yes</t>
        </is>
      </c>
      <c r="Z51" s="2" t="inlineStr">
        <is>
          <t>Agency-preservation questions for tools/AI/forms. The Agency &amp; Autonomy Checklist must include questions about how the tool affects the user's sense of agency.</t>
        </is>
      </c>
      <c r="AA51" s="2" t="inlineStr">
        <is>
          <t>Agency is designable and measurable. The cosmotechnic audit must include the agency dimension.</t>
        </is>
      </c>
      <c r="AB51" s="2" t="inlineStr">
        <is>
          <t>CF-4</t>
        </is>
      </c>
      <c r="AC51" s="2" t="inlineStr">
        <is>
          <t>Agency &amp; Autonomy Checklist</t>
        </is>
      </c>
      <c r="AE51" s="2" t="inlineStr">
        <is>
          <t>Empirical / applied research</t>
        </is>
      </c>
      <c r="AF51" s="2" t="inlineStr">
        <is>
          <t>24 months</t>
        </is>
      </c>
      <c r="AG51" s="2" t="inlineStr">
        <is>
          <t>2026-08-13</t>
        </is>
      </c>
      <c r="AH51" s="2" t="inlineStr">
        <is>
          <t>2028-08-13</t>
        </is>
      </c>
      <c r="AI51" s="2" t="inlineStr">
        <is>
          <t>Current - re-search on schedule</t>
        </is>
      </c>
    </row>
    <row r="52">
      <c r="A52" s="2" t="inlineStr">
        <is>
          <t>A3-02</t>
        </is>
      </c>
      <c r="B52" s="2" t="inlineStr">
        <is>
          <t>Bennett, Metatla, Roudaut &amp; Mekler — HCI Agency/Autonomy</t>
        </is>
      </c>
      <c r="C52" s="4" t="inlineStr">
        <is>
          <t>https://arxiv.org/pdf/2301.12490</t>
        </is>
      </c>
      <c r="D52" s="4" t="inlineStr">
        <is>
          <t>https://arxiv.org/abs/2301.12490</t>
        </is>
      </c>
      <c r="E52" s="2" t="inlineStr">
        <is>
          <t>Open arXiv PDF / CHI proceedings</t>
        </is>
      </c>
      <c r="F52" s="2" t="inlineStr">
        <is>
          <t>Readable source found</t>
        </is>
      </c>
      <c r="G52" s="2" t="inlineStr">
        <is>
          <t>Search results identify ACM DOI 10.1145/3544548.3580651. Note title-order ambiguity: matrix says agency/autonomy; arXiv page says autonomy/agency. CHARTED 2026-08-14 batch 5b (Area 3 agency/autonomy; collapsed QC). Full text read (CHI 2023).</t>
        </is>
      </c>
      <c r="H52" s="2" t="inlineStr">
        <is>
          <t>Bennett, Metatla, Roudaut &amp; Mekler — HCI Agency/Autonomy pdf DOI readable source</t>
        </is>
      </c>
      <c r="I52" s="4" t="inlineStr">
        <is>
          <t>https://www.google.com/search?q=Bennett%2C+Metatla%2C+Roudaut+%26+Mekler+%E2%80%94+HCI+Agency%2FAutonomy+pdf+DOI+readable+source</t>
        </is>
      </c>
      <c r="J52" s="2" t="inlineStr">
        <is>
          <t>2026-08-13</t>
        </is>
      </c>
      <c r="K52" s="2" t="inlineStr">
        <is>
          <t>Charted - 2026-08-14</t>
        </is>
      </c>
      <c r="L52" s="2" t="n">
        <v>3</v>
      </c>
      <c r="M52" s="2" t="inlineStr">
        <is>
          <t>WS-L</t>
        </is>
      </c>
      <c r="N52" s="2" t="inlineStr">
        <is>
          <t>A</t>
        </is>
      </c>
      <c r="O52" s="2" t="inlineStr">
        <is>
          <t>REVIEW/CRITIQUE/DESIGN</t>
        </is>
      </c>
      <c r="P52" s="2" t="inlineStr">
        <is>
          <t>review</t>
        </is>
      </c>
      <c r="Q52" s="2" t="inlineStr">
        <is>
          <t>HCI</t>
        </is>
      </c>
      <c r="R52" s="2" t="inlineStr">
        <is>
          <t>conceptual</t>
        </is>
      </c>
      <c r="S52" s="2" t="inlineStr">
        <is>
          <t>high</t>
        </is>
      </c>
      <c r="T52" s="2" t="inlineStr">
        <is>
          <t>A systematic literature review (161 papers, 1990-2022) finds that 'autonomy' and 'agency' in HCI are vague umbrella constructs — used interchangeably, given a wide range of meanings (implicit experience of self-causality, material influence, experience of congruence with values). Few works give specific definitions. The paper identifies four aspects that distinguish approaches: (1) self-causality and personal identity; (2) experience vs. material expression; (3) time-scales; (4) independence vs. interdependence. It calls for HCI to develop these as well-functioning boundary objects — flexible enough to coordinate across communities, robust enough to maintain identity.</t>
        </is>
      </c>
      <c r="U52" s="2" t="inlineStr">
        <is>
          <t>not_quantifiable (review). Strength = high as the REVIEW/CRITIQUE/DESIGN row — the umbrella-construct critique is the warrant for the Agency &amp; Autonomy Checklist's explicit definitions (construct-role claim).</t>
        </is>
      </c>
      <c r="V52" s="2" t="inlineStr">
        <is>
          <t>Review paper — the analysis is descriptive and taxonomic, not prescriptive. The 161-paper corpus is comprehensive but the findings are conceptual, not empirical.</t>
        </is>
      </c>
      <c r="W52" s="2" t="inlineStr">
        <is>
          <t>If autonomy and agency ARE already well-defined in HCI (if the review's critique is overstated), the call for boundary objects is unnecessary.</t>
        </is>
      </c>
      <c r="X52" s="2" t="inlineStr">
        <is>
          <t>no</t>
        </is>
      </c>
      <c r="Y52" s="2" t="inlineStr">
        <is>
          <t>yes</t>
        </is>
      </c>
      <c r="Z52" s="2" t="inlineStr">
        <is>
          <t>Force explicit agency criteria; kill vague autonomy talk. The Agency &amp; Autonomy Checklist must require explicit definitions of what 'agency' and 'autonomy' mean for each tool/artifact.</t>
        </is>
      </c>
      <c r="AA52" s="2" t="inlineStr">
        <is>
          <t>Autonomy must be operationalized. The cosmotechnic audit cannot rely on vague appeals to 'autonomy' — it must specify what kind, for whom, in what context.</t>
        </is>
      </c>
      <c r="AB52" s="2" t="inlineStr">
        <is>
          <t>CF-10</t>
        </is>
      </c>
      <c r="AC52" s="2" t="inlineStr">
        <is>
          <t>Agency &amp; Autonomy Checklist</t>
        </is>
      </c>
      <c r="AD52" s="2" t="inlineStr">
        <is>
          <t>OC-7</t>
        </is>
      </c>
      <c r="AE52" s="2" t="inlineStr">
        <is>
          <t>Empirical / applied research</t>
        </is>
      </c>
      <c r="AF52" s="2" t="inlineStr">
        <is>
          <t>24 months</t>
        </is>
      </c>
      <c r="AG52" s="2" t="inlineStr">
        <is>
          <t>2026-08-13</t>
        </is>
      </c>
      <c r="AH52" s="2" t="inlineStr">
        <is>
          <t>2028-08-13</t>
        </is>
      </c>
      <c r="AI52" s="2" t="inlineStr">
        <is>
          <t>Current - re-search on schedule</t>
        </is>
      </c>
    </row>
    <row r="53">
      <c r="A53" s="2" t="inlineStr">
        <is>
          <t>A3-03</t>
        </is>
      </c>
      <c r="B53" s="2" t="inlineStr">
        <is>
          <t>Schroeder et al. — Goal-Directed Self-Tracking</t>
        </is>
      </c>
      <c r="C53" s="7" t="inlineStr">
        <is>
          <t>https://dl.acm.org/doi/pdf/10.1145/3242587.3242643</t>
        </is>
      </c>
      <c r="D53" s="7" t="inlineStr">
        <is>
          <t>https://doi.org/10.1145/3242587.3242643</t>
        </is>
      </c>
      <c r="E53" s="6" t="inlineStr">
        <is>
          <t>ACM DL landing only</t>
        </is>
      </c>
      <c r="F53" s="7" t="inlineStr">
        <is>
          <t>Located - source landing</t>
        </is>
      </c>
      <c r="G53" s="2" t="inlineStr">
        <is>
          <t>ACM source located; access may require institution. CHARTED 2026-08-14 batch 5d (Area 3 agency/autonomy; collapsed QC). ABSTRACT ONLY — full text not open.</t>
        </is>
      </c>
      <c r="H53" s="2" t="inlineStr">
        <is>
          <t>Schroeder et al. — Goal-Directed Self-Tracking pdf DOI readable source</t>
        </is>
      </c>
      <c r="I53" s="4" t="inlineStr">
        <is>
          <t>https://www.google.com/search?q=Schroeder+et+al.+%E2%80%94+Goal-Directed+Self-Tracking+pdf+DOI+readable+source</t>
        </is>
      </c>
      <c r="J53" s="7" t="inlineStr">
        <is>
          <t>2026-08-13</t>
        </is>
      </c>
      <c r="K53" s="7" t="inlineStr">
        <is>
          <t>Charted - 2026-08-14</t>
        </is>
      </c>
      <c r="L53" s="2" t="n">
        <v>3</v>
      </c>
      <c r="M53" s="2" t="inlineStr">
        <is>
          <t>WS-H</t>
        </is>
      </c>
      <c r="N53" s="2" t="inlineStr">
        <is>
          <t>A</t>
        </is>
      </c>
      <c r="O53" s="2" t="inlineStr">
        <is>
          <t>DESIGN/METHOD</t>
        </is>
      </c>
      <c r="P53" s="2" t="inlineStr">
        <is>
          <t>empirical</t>
        </is>
      </c>
      <c r="Q53" s="2" t="inlineStr">
        <is>
          <t>HCI</t>
        </is>
      </c>
      <c r="R53" s="2" t="inlineStr">
        <is>
          <t>correlational</t>
        </is>
      </c>
      <c r="S53" s="2" t="inlineStr">
        <is>
          <t>medium</t>
        </is>
      </c>
      <c r="T53" s="2" t="inlineStr">
        <is>
          <t>Self-tracking tools fail when goals are unstated/unsupported. The paper examines how self-tracking tools fail when users' goals are not explicitly stated or supported by the tool. Design implication: every tracking field must have a goal and use-case.</t>
        </is>
      </c>
      <c r="U53" s="2" t="inlineStr">
        <is>
          <t>not_quantifiable (empirical, abstract-level only). Strength = medium as the DESIGN/METHOD row — the goal-support thesis is a framing resource for the Digital Capture Architecture (construct-role claim, abstract-level caveat).</t>
        </is>
      </c>
      <c r="V53" s="2" t="inlineStr">
        <is>
          <t>Abstract/synopsis only — full text not open. Flagged as verification debt.</t>
        </is>
      </c>
      <c r="W53" s="2" t="inlineStr">
        <is>
          <t>If self-tracking tools do NOT fail when goals are unstated (if users can succeed without explicit goals), the goal-support thesis is overstated.</t>
        </is>
      </c>
      <c r="X53" s="2" t="inlineStr">
        <is>
          <t>partial</t>
        </is>
      </c>
      <c r="Y53" s="2" t="inlineStr">
        <is>
          <t>partial</t>
        </is>
      </c>
      <c r="Z53" s="2" t="inlineStr">
        <is>
          <t>Every tracking field must have a goal and use-case. The tool must require explicit goals for each tracking field.</t>
        </is>
      </c>
      <c r="AA53" s="2" t="inlineStr">
        <is>
          <t>No capture without purpose. The cosmotechnic audit must assess whether each tracking field has a clear purpose.</t>
        </is>
      </c>
      <c r="AB53" s="2" t="inlineStr">
        <is>
          <t>CF-2</t>
        </is>
      </c>
      <c r="AC53" s="2" t="inlineStr">
        <is>
          <t>Digital Capture Architecture</t>
        </is>
      </c>
      <c r="AE53" s="2" t="inlineStr">
        <is>
          <t>Empirical / applied research</t>
        </is>
      </c>
      <c r="AF53" s="2" t="inlineStr">
        <is>
          <t>24 months</t>
        </is>
      </c>
      <c r="AG53" s="2" t="inlineStr">
        <is>
          <t>2026-08-13</t>
        </is>
      </c>
      <c r="AH53" s="2" t="inlineStr">
        <is>
          <t>2028-08-13</t>
        </is>
      </c>
      <c r="AI53" s="2" t="inlineStr">
        <is>
          <t>Current - located, access/fit caveat</t>
        </is>
      </c>
    </row>
    <row r="54">
      <c r="A54" s="2" t="inlineStr">
        <is>
          <t>A3-04</t>
        </is>
      </c>
      <c r="B54" s="2" t="inlineStr">
        <is>
          <t>Baumer &amp; Silberman — When the Implication Is Not to Design</t>
        </is>
      </c>
      <c r="C54" s="7" t="inlineStr">
        <is>
          <t>https://www.ics.uci.edu/~djp3/classes/2011_01_INF134/papers/impl9-rev.pdf</t>
        </is>
      </c>
      <c r="D54" s="7" t="inlineStr">
        <is>
          <t>https://dl.acm.org/doi/10.1145/1978942.1979275</t>
        </is>
      </c>
      <c r="E54" s="6" t="inlineStr">
        <is>
          <t>Open PDF (course mirror) / ACM DL landing</t>
        </is>
      </c>
      <c r="F54" s="7" t="inlineStr">
        <is>
          <t>Located - readable source (replacement verified 2026-08-13)</t>
        </is>
      </c>
      <c r="G54" s="2" t="inlineStr">
        <is>
          <t>Readable PDF located for non-design implication article.; REPLACEMENT 2026-08-13: original link 404. UCI-hosted copy verified (4p, text OK, Baumer &amp; Silberman CHI 2011). ACM DL landing is the official record (bot-blocked to curl, human-readable). CHARTED 2026-08-14 batch 5d (Area 3 agency/autonomy; collapsed QC). Full text read (CHI 2011).</t>
        </is>
      </c>
      <c r="H54" s="2" t="inlineStr">
        <is>
          <t>Baumer &amp; Silberman — When the Implication Is Not to Design pdf DOI readable source</t>
        </is>
      </c>
      <c r="I54" s="4" t="inlineStr">
        <is>
          <t>https://www.google.com/search?q=Baumer+%26+Silberman+%E2%80%94+When+the+Implication+Is+Not+to+Design+pdf+DOI+readable+source</t>
        </is>
      </c>
      <c r="J54" s="7" t="inlineStr">
        <is>
          <t>2026-08-13</t>
        </is>
      </c>
      <c r="K54" s="7" t="inlineStr">
        <is>
          <t>Charted - 2026-08-14</t>
        </is>
      </c>
      <c r="L54" s="2" t="n">
        <v>3</v>
      </c>
      <c r="M54" s="2" t="inlineStr">
        <is>
          <t>WS-L</t>
        </is>
      </c>
      <c r="N54" s="2" t="inlineStr">
        <is>
          <t>A</t>
        </is>
      </c>
      <c r="O54" s="2" t="inlineStr">
        <is>
          <t>CRITIQUE/DESIGN VETO</t>
        </is>
      </c>
      <c r="P54" s="2" t="inlineStr">
        <is>
          <t>critique</t>
        </is>
      </c>
      <c r="Q54" s="2" t="inlineStr">
        <is>
          <t>HCI</t>
        </is>
      </c>
      <c r="R54" s="2" t="inlineStr">
        <is>
          <t>conceptual</t>
        </is>
      </c>
      <c r="S54" s="2" t="inlineStr">
        <is>
          <t>high</t>
        </is>
      </c>
      <c r="T54" s="2" t="inlineStr">
        <is>
          <t>Sometimes the right move is not to build technology. The paper argues that HCI researchers should consider the possibility that the best design implication is to NOT design or build a particular technology. This is not a rejection of technology but a recognition that some problems are better addressed through non-technological means. The paper provides a framework for when 'non-design' is the appropriate conclusion.</t>
        </is>
      </c>
      <c r="U54" s="2" t="inlineStr">
        <is>
          <t>not_quantifiable (critique). Strength = high as the CRITIQUE/DESIGN VETO row — the non-design thesis is the explicit warrant for the Design Veto Catalogue's 'do not build' option (construct-role claim).</t>
        </is>
      </c>
      <c r="V54" s="2" t="inlineStr">
        <is>
          <t>Short paper (4pp) — the argument is programmatic. The framework is proposed but not empirically validated.</t>
        </is>
      </c>
      <c r="W54" s="2" t="inlineStr">
        <is>
          <t>If non-design is NEVER the right move (if every problem can be solved by better technology), the thesis fails.</t>
        </is>
      </c>
      <c r="X54" s="2" t="inlineStr">
        <is>
          <t>no</t>
        </is>
      </c>
      <c r="Y54" s="2" t="inlineStr">
        <is>
          <t>yes</t>
        </is>
      </c>
      <c r="Z54" s="2" t="inlineStr">
        <is>
          <t>Formalize technology refusal. The Design Veto Catalogue must include the option to conclude that the right move is not to build.</t>
        </is>
      </c>
      <c r="AA54" s="2" t="inlineStr">
        <is>
          <t>Non-design as a valid outcome. The cosmotechnic audit must include the possibility that the best artifact is no artifact.</t>
        </is>
      </c>
      <c r="AB54" s="2" t="inlineStr">
        <is>
          <t>CF-4/CF-9</t>
        </is>
      </c>
      <c r="AC54" s="2" t="inlineStr">
        <is>
          <t>Design Veto Catalogue</t>
        </is>
      </c>
      <c r="AD54" s="2" t="inlineStr">
        <is>
          <t>OC-10</t>
        </is>
      </c>
      <c r="AE54" s="2" t="inlineStr">
        <is>
          <t>Empirical / applied research</t>
        </is>
      </c>
      <c r="AF54" s="2" t="inlineStr">
        <is>
          <t>24 months</t>
        </is>
      </c>
      <c r="AG54" s="2" t="inlineStr">
        <is>
          <t>2026-08-13</t>
        </is>
      </c>
      <c r="AH54" s="2" t="inlineStr">
        <is>
          <t>2028-08-13</t>
        </is>
      </c>
      <c r="AI54" s="2" t="inlineStr">
        <is>
          <t>Current - re-search on schedule</t>
        </is>
      </c>
    </row>
    <row r="55">
      <c r="A55" s="2" t="inlineStr">
        <is>
          <t>A3-05</t>
        </is>
      </c>
      <c r="B55" s="2" t="inlineStr">
        <is>
          <t>Sengers, Boehner, David &amp; Kaye — Reflective Design</t>
        </is>
      </c>
      <c r="C55" s="7" t="inlineStr">
        <is>
          <t>https://alumni.media.mit.edu/~jofish/writing/sengersetalRDfinalfinal.pdf</t>
        </is>
      </c>
      <c r="D55" s="7" t="inlineStr">
        <is>
          <t>https://dl.acm.org/doi/10.1145/1094562.1094569</t>
        </is>
      </c>
      <c r="E55" s="6" t="inlineStr">
        <is>
          <t>Publisher/landing only</t>
        </is>
      </c>
      <c r="F55" s="7" t="inlineStr">
        <is>
          <t>Located - readable source (replacement verified 2026-08-13)</t>
        </is>
      </c>
      <c r="G55" s="2" t="inlineStr">
        <is>
          <t>Readable PDF located for Reflective Design.; REPLACEMENT 2026-08-13: original link 404. Author copy verified (10p, text OK, Sengers, Boehner, David &amp; Kaye 2005). CHARTED 2026-08-14 batch 5e (Area 3; collapsed QC). ABSTRACT ONLY.</t>
        </is>
      </c>
      <c r="H55" s="2" t="inlineStr">
        <is>
          <t>Sengers, Boehner, David &amp; Kaye — Reflective Design pdf DOI readable source</t>
        </is>
      </c>
      <c r="I55" s="4" t="inlineStr">
        <is>
          <t>https://www.google.com/search?q=Sengers%2C+Boehner%2C+David+%26+Kaye+%E2%80%94+Reflective+Design+pdf+DOI+readable+source</t>
        </is>
      </c>
      <c r="J55" s="7" t="inlineStr">
        <is>
          <t>2026-08-13</t>
        </is>
      </c>
      <c r="K55" s="7" t="inlineStr">
        <is>
          <t>Charted - 2026-08-14</t>
        </is>
      </c>
      <c r="L55" s="2" t="n">
        <v>3</v>
      </c>
      <c r="M55" s="2" t="inlineStr">
        <is>
          <t>WS-F</t>
        </is>
      </c>
      <c r="N55" s="2" t="inlineStr">
        <is>
          <t>A</t>
        </is>
      </c>
      <c r="O55" s="2" t="inlineStr">
        <is>
          <t>CRITIQUE/DESIGN</t>
        </is>
      </c>
      <c r="P55" s="2" t="inlineStr">
        <is>
          <t>theoretical</t>
        </is>
      </c>
      <c r="Q55" s="2" t="inlineStr">
        <is>
          <t>HCI</t>
        </is>
      </c>
      <c r="R55" s="2" t="inlineStr">
        <is>
          <t>conceptual</t>
        </is>
      </c>
      <c r="S55" s="2" t="inlineStr">
        <is>
          <t>medium</t>
        </is>
      </c>
      <c r="T55" s="2" t="inlineStr">
        <is>
          <t>Reflective design integrates critical reflection into the design process. Designers should create technologies that encourage users to reflect on their practices, values, and assumptions — not just use tools uncritically.</t>
        </is>
      </c>
      <c r="U55" s="2" t="inlineStr">
        <is>
          <t>not_quantifiable (theoretical, abstract-level only). Strength = high as the CRITIQUE/DESIGN row — the reflective-design thesis is a framing resource for the Design Veto Catalogue (construct-role claim, abstract-level caveat).</t>
        </is>
      </c>
      <c r="V55" s="2" t="inlineStr">
        <is>
          <t>Abstract/synopsis only — full text not open. Flagged as verification debt.</t>
        </is>
      </c>
      <c r="W55" s="2" t="inlineStr">
        <is>
          <t>If reflective design does NOT produce more mindful technology use, the approach fails.</t>
        </is>
      </c>
      <c r="X55" s="2" t="inlineStr">
        <is>
          <t>no</t>
        </is>
      </c>
      <c r="Y55" s="2" t="inlineStr">
        <is>
          <t>yes</t>
        </is>
      </c>
      <c r="Z55" s="2" t="inlineStr">
        <is>
          <t>Integrate critical reflection into the design process.</t>
        </is>
      </c>
      <c r="AA55" s="2" t="inlineStr">
        <is>
          <t>Reflection as design value.</t>
        </is>
      </c>
      <c r="AB55" s="2" t="inlineStr">
        <is>
          <t>CF-5</t>
        </is>
      </c>
      <c r="AC55" s="2" t="inlineStr">
        <is>
          <t>Phenomenological Registration Sheet</t>
        </is>
      </c>
      <c r="AE55" s="2" t="inlineStr">
        <is>
          <t>Empirical / applied research</t>
        </is>
      </c>
      <c r="AF55" s="2" t="inlineStr">
        <is>
          <t>24 months</t>
        </is>
      </c>
      <c r="AG55" s="2" t="inlineStr">
        <is>
          <t>2026-08-13</t>
        </is>
      </c>
      <c r="AH55" s="2" t="inlineStr">
        <is>
          <t>2028-08-13</t>
        </is>
      </c>
      <c r="AI55" s="2" t="inlineStr">
        <is>
          <t>Current - re-search on schedule</t>
        </is>
      </c>
    </row>
    <row r="56">
      <c r="A56" s="2" t="inlineStr">
        <is>
          <t>A3-06</t>
        </is>
      </c>
      <c r="B56" s="2" t="inlineStr">
        <is>
          <t>Bardzell &amp; Bardzell — Humanistic HCI</t>
        </is>
      </c>
      <c r="C56" s="7" t="inlineStr">
        <is>
          <t>https://www.morganclaypool.com/doi/pdf/10.2200/S00438ED1V01Y201207HCI015</t>
        </is>
      </c>
      <c r="D56" s="7" t="inlineStr">
        <is>
          <t>https://doi.org/10.2200/S00438ED1V01Y201207HCI015</t>
        </is>
      </c>
      <c r="E56" s="6" t="inlineStr">
        <is>
          <t>Publisher/landing only</t>
        </is>
      </c>
      <c r="F56" s="7" t="inlineStr">
        <is>
          <t>Located - readable source</t>
        </is>
      </c>
      <c r="G56" s="2" t="inlineStr">
        <is>
          <t>Publisher PDF located; access may vary. CHARTED 2026-08-14 batch 5e (Area 3; collapsed QC). ABSTRACT ONLY.</t>
        </is>
      </c>
      <c r="H56" s="2" t="inlineStr">
        <is>
          <t>Bardzell &amp; Bardzell — Humanistic HCI pdf DOI readable source</t>
        </is>
      </c>
      <c r="I56" s="4" t="inlineStr">
        <is>
          <t>https://www.google.com/search?q=Bardzell+%26+Bardzell+%E2%80%94+Humanistic+HCI+pdf+DOI+readable+source</t>
        </is>
      </c>
      <c r="J56" s="7" t="inlineStr">
        <is>
          <t>2026-08-13</t>
        </is>
      </c>
      <c r="K56" s="7" t="inlineStr">
        <is>
          <t>Charted - 2026-08-14</t>
        </is>
      </c>
      <c r="L56" s="2" t="n">
        <v>3</v>
      </c>
      <c r="M56" s="2" t="inlineStr">
        <is>
          <t>WS-L</t>
        </is>
      </c>
      <c r="N56" s="2" t="inlineStr">
        <is>
          <t>A</t>
        </is>
      </c>
      <c r="O56" s="2" t="inlineStr">
        <is>
          <t>TELOS/CRITIQUE</t>
        </is>
      </c>
      <c r="P56" s="2" t="inlineStr">
        <is>
          <t>theoretical</t>
        </is>
      </c>
      <c r="Q56" s="2" t="inlineStr">
        <is>
          <t>HCI</t>
        </is>
      </c>
      <c r="R56" s="2" t="inlineStr">
        <is>
          <t>conceptual</t>
        </is>
      </c>
      <c r="S56" s="2" t="inlineStr">
        <is>
          <t>medium</t>
        </is>
      </c>
      <c r="T56" s="2" t="inlineStr">
        <is>
          <t>Humanistic HCI centers human values, meaning, and flourishing in design — in contrast to purely functional or efficiency-driven approaches.</t>
        </is>
      </c>
      <c r="U56" s="2" t="inlineStr">
        <is>
          <t>not_quantifiable (theoretical, abstract-level only). Strength = high as the TELOS/CRITIQUE row — the humanistic-HCI thesis is a framing resource for the Cosmotechnic Audit Card (construct-role claim, abstract-level caveat).</t>
        </is>
      </c>
      <c r="V56" s="2" t="inlineStr">
        <is>
          <t>Abstract/synopsis only — full text not open. Flagged as verification debt.</t>
        </is>
      </c>
      <c r="W56" s="2" t="inlineStr">
        <is>
          <t>If humanistic HCI does NOT produce better design outcomes, the thesis fails.</t>
        </is>
      </c>
      <c r="X56" s="2" t="inlineStr">
        <is>
          <t>no</t>
        </is>
      </c>
      <c r="Y56" s="2" t="inlineStr">
        <is>
          <t>yes</t>
        </is>
      </c>
      <c r="Z56" s="2" t="inlineStr">
        <is>
          <t>Center human values and flourishing in design.</t>
        </is>
      </c>
      <c r="AA56" s="2" t="inlineStr">
        <is>
          <t>Human flourishing as telos.</t>
        </is>
      </c>
      <c r="AB56" s="2" t="inlineStr">
        <is>
          <t>CF-1</t>
        </is>
      </c>
      <c r="AC56" s="2" t="inlineStr">
        <is>
          <t>Cosmotechnic Audit Card</t>
        </is>
      </c>
      <c r="AE56" s="2" t="inlineStr">
        <is>
          <t>Empirical / applied research</t>
        </is>
      </c>
      <c r="AF56" s="2" t="inlineStr">
        <is>
          <t>24 months</t>
        </is>
      </c>
      <c r="AG56" s="2" t="inlineStr">
        <is>
          <t>2026-08-13</t>
        </is>
      </c>
      <c r="AH56" s="2" t="inlineStr">
        <is>
          <t>2028-08-13</t>
        </is>
      </c>
      <c r="AI56" s="2" t="inlineStr">
        <is>
          <t>Current - re-search on schedule</t>
        </is>
      </c>
    </row>
    <row r="57">
      <c r="A57" s="2" t="inlineStr">
        <is>
          <t>A3-07</t>
        </is>
      </c>
      <c r="B57" s="2" t="inlineStr">
        <is>
          <t>Friedman &amp; Kahn — Value Sensitive Design</t>
        </is>
      </c>
      <c r="C57" s="2" t="inlineStr">
        <is>
          <t>https://nissenbaum.tech.cornell.edu/papers/Value_Sensitive_Design.pdf</t>
        </is>
      </c>
      <c r="D57" s="2" t="inlineStr">
        <is>
          <t>https://link.springer.com/content/pdf/10.1007/978-94-007-7844-3_4.pdf</t>
        </is>
      </c>
      <c r="E57" t="inlineStr">
        <is>
          <t>Publisher/landing only</t>
        </is>
      </c>
      <c r="F57" s="2" t="inlineStr">
        <is>
          <t>Located - readable source</t>
        </is>
      </c>
      <c r="G57" s="2" t="inlineStr">
        <is>
          <t>VSD paper/chapter source located; row label should include Borning in final citation if using this source. CHARTED 2026-08-14 batch 5e (Area 3; collapsed QC). ABSTRACT ONLY.</t>
        </is>
      </c>
      <c r="H57" s="2" t="inlineStr">
        <is>
          <t>Friedman &amp; Kahn — Value Sensitive Design pdf DOI readable source</t>
        </is>
      </c>
      <c r="I57" s="4" t="inlineStr">
        <is>
          <t>https://www.google.com/search?q=Friedman+%26+Kahn+%E2%80%94+Value+Sensitive+Design+pdf+DOI+readable+source</t>
        </is>
      </c>
      <c r="J57" s="2" t="inlineStr">
        <is>
          <t>2026-08-13</t>
        </is>
      </c>
      <c r="K57" s="2" t="inlineStr">
        <is>
          <t>Charted - 2026-08-14</t>
        </is>
      </c>
      <c r="L57" s="2" t="n">
        <v>3</v>
      </c>
      <c r="M57" s="2" t="inlineStr">
        <is>
          <t>WS-L</t>
        </is>
      </c>
      <c r="N57" s="2" t="inlineStr">
        <is>
          <t>B</t>
        </is>
      </c>
      <c r="O57" s="2" t="inlineStr">
        <is>
          <t>METHOD/DESIGN</t>
        </is>
      </c>
      <c r="P57" s="2" t="inlineStr">
        <is>
          <t>methods</t>
        </is>
      </c>
      <c r="Q57" s="2" t="inlineStr">
        <is>
          <t>HCI</t>
        </is>
      </c>
      <c r="R57" s="2" t="inlineStr">
        <is>
          <t>conceptual</t>
        </is>
      </c>
      <c r="S57" s="2" t="inlineStr">
        <is>
          <t>medium</t>
        </is>
      </c>
      <c r="T57" s="2" t="inlineStr">
        <is>
          <t>Value Sensitive Design (VSD) is a methodology for incorporating human values into the design of technology.</t>
        </is>
      </c>
      <c r="U57" s="2" t="inlineStr">
        <is>
          <t>not_quantifiable (methods, abstract-level only). Strength = medium as the METHOD/DESIGN row (construct-role claim, abstract-level caveat).</t>
        </is>
      </c>
      <c r="V57" s="2" t="inlineStr">
        <is>
          <t>Abstract/synopsis only — full text not open. Flagged as verification debt.</t>
        </is>
      </c>
      <c r="W57" s="2" t="inlineStr">
        <is>
          <t>If VSD does NOT produce more value-sensitive designs, the approach fails.</t>
        </is>
      </c>
      <c r="X57" s="2" t="inlineStr">
        <is>
          <t>partial</t>
        </is>
      </c>
      <c r="Y57" s="2" t="inlineStr">
        <is>
          <t>partial</t>
        </is>
      </c>
      <c r="Z57" s="2" t="inlineStr">
        <is>
          <t>Incorporate human values into the design process.</t>
        </is>
      </c>
      <c r="AA57" s="2" t="inlineStr">
        <is>
          <t>Values as design input.</t>
        </is>
      </c>
      <c r="AB57" s="2" t="inlineStr">
        <is>
          <t>CF-10</t>
        </is>
      </c>
      <c r="AC57" s="2" t="inlineStr">
        <is>
          <t>Design Veto Catalogue</t>
        </is>
      </c>
      <c r="AE57" s="2" t="inlineStr">
        <is>
          <t>Empirical / applied research</t>
        </is>
      </c>
      <c r="AF57" s="2" t="inlineStr">
        <is>
          <t>24 months</t>
        </is>
      </c>
      <c r="AG57" s="2" t="inlineStr">
        <is>
          <t>2026-08-13</t>
        </is>
      </c>
      <c r="AH57" s="2" t="inlineStr">
        <is>
          <t>2028-08-13</t>
        </is>
      </c>
      <c r="AI57" s="2" t="inlineStr">
        <is>
          <t>Current - re-search on schedule</t>
        </is>
      </c>
    </row>
    <row r="58">
      <c r="A58" s="2" t="inlineStr">
        <is>
          <t>A3-08</t>
        </is>
      </c>
      <c r="B58" s="2" t="inlineStr">
        <is>
          <t>Light, Burgess &amp; Duguay — The Walkthrough Method</t>
        </is>
      </c>
      <c r="C58" s="2" t="inlineStr">
        <is>
          <t>https://salford-repository.worktribe.com/preview/1493547/The20Walkthrough20Method20-20Final20Pre-print20version1.pdf</t>
        </is>
      </c>
      <c r="D58" s="2" t="inlineStr">
        <is>
          <t>https://doi.org/10.1177/1461444816675438</t>
        </is>
      </c>
      <c r="E58" t="inlineStr">
        <is>
          <t>Publisher/landing only</t>
        </is>
      </c>
      <c r="F58" s="2" t="inlineStr">
        <is>
          <t>Located - readable source</t>
        </is>
      </c>
      <c r="G58" s="2" t="inlineStr">
        <is>
          <t>Author preprint and DOI landing located. CHARTED 2026-08-14 batch 5e (Area 3; collapsed QC). ABSTRACT ONLY.</t>
        </is>
      </c>
      <c r="H58" s="2" t="inlineStr">
        <is>
          <t>Light, Burgess &amp; Duguay — The Walkthrough Method pdf DOI readable source</t>
        </is>
      </c>
      <c r="I58" s="4" t="inlineStr">
        <is>
          <t>https://www.google.com/search?q=Light%2C+Burgess+%26+Duguay+%E2%80%94+The+Walkthrough+Method+pdf+DOI+readable+source</t>
        </is>
      </c>
      <c r="J58" s="2" t="inlineStr">
        <is>
          <t>2026-08-13</t>
        </is>
      </c>
      <c r="K58" s="2" t="inlineStr">
        <is>
          <t>Charted - 2026-08-14</t>
        </is>
      </c>
      <c r="L58" s="2" t="n">
        <v>3</v>
      </c>
      <c r="M58" s="2" t="inlineStr">
        <is>
          <t>WS-H</t>
        </is>
      </c>
      <c r="N58" s="2" t="inlineStr">
        <is>
          <t>B</t>
        </is>
      </c>
      <c r="O58" s="2" t="inlineStr">
        <is>
          <t>METHOD/CRITIQUE</t>
        </is>
      </c>
      <c r="P58" s="2" t="inlineStr">
        <is>
          <t>methods</t>
        </is>
      </c>
      <c r="Q58" s="2" t="inlineStr">
        <is>
          <t>media/HCI</t>
        </is>
      </c>
      <c r="R58" s="2" t="inlineStr">
        <is>
          <t>conceptual</t>
        </is>
      </c>
      <c r="S58" s="2" t="inlineStr">
        <is>
          <t>low</t>
        </is>
      </c>
      <c r="T58" s="2" t="inlineStr">
        <is>
          <t>The walkthrough method is a qualitative research method for studying how users interact with technology in context.</t>
        </is>
      </c>
      <c r="U58" s="2" t="inlineStr">
        <is>
          <t>not_quantifiable (methods, abstract-level only). Strength = medium as the METHOD/CRITIQUE row (construct-role claim, abstract-level caveat).</t>
        </is>
      </c>
      <c r="V58" s="2" t="inlineStr">
        <is>
          <t>Abstract/synopsis only — full text not open. Flagged as verification debt.</t>
        </is>
      </c>
      <c r="W58" s="2" t="inlineStr">
        <is>
          <t>If the walkthrough method does NOT produce richer understanding, the approach is unnecessary.</t>
        </is>
      </c>
      <c r="X58" s="2" t="inlineStr">
        <is>
          <t>no</t>
        </is>
      </c>
      <c r="Y58" s="2" t="inlineStr">
        <is>
          <t>partial</t>
        </is>
      </c>
      <c r="Z58" s="2" t="inlineStr">
        <is>
          <t>Use qualitative, context-sensitive methods to understand technology use.</t>
        </is>
      </c>
      <c r="AA58" s="2" t="inlineStr">
        <is>
          <t>Context as essential.</t>
        </is>
      </c>
      <c r="AB58" s="2" t="inlineStr">
        <is>
          <t>CF-5</t>
        </is>
      </c>
      <c r="AC58" s="2" t="inlineStr">
        <is>
          <t>Digital Capture Architecture</t>
        </is>
      </c>
      <c r="AE58" s="2" t="inlineStr">
        <is>
          <t>Empirical / applied research</t>
        </is>
      </c>
      <c r="AF58" s="2" t="inlineStr">
        <is>
          <t>24 months</t>
        </is>
      </c>
      <c r="AG58" s="2" t="inlineStr">
        <is>
          <t>2026-08-13</t>
        </is>
      </c>
      <c r="AH58" s="2" t="inlineStr">
        <is>
          <t>2028-08-13</t>
        </is>
      </c>
      <c r="AI58" s="2" t="inlineStr">
        <is>
          <t>Current - re-search on schedule</t>
        </is>
      </c>
    </row>
    <row r="59">
      <c r="A59" s="2" t="inlineStr">
        <is>
          <t>A3-09</t>
        </is>
      </c>
      <c r="B59" s="2" t="inlineStr">
        <is>
          <t>Pierce — Undesigning Technology</t>
        </is>
      </c>
      <c r="C59" s="2" t="inlineStr">
        <is>
          <t>https://dl.acm.org/doi/10.1145/2207676.2208540</t>
        </is>
      </c>
      <c r="D59" s="2" t="inlineStr">
        <is>
          <t>https://www.semanticscholar.org/paper/e1a0b10191fe54df146f70764e16cfa8eec1af20</t>
        </is>
      </c>
      <c r="E59" t="inlineStr">
        <is>
          <t>Publisher/landing only</t>
        </is>
      </c>
      <c r="F59" s="2" t="inlineStr">
        <is>
          <t>Located - source landing (replacement verified 2026-08-13; full text needs manual/institutional)</t>
        </is>
      </c>
      <c r="G59" s="2" t="inlineStr">
        <is>
          <t>No clearly legal open PDF found in pass; ACM DOI path recorded.; SOURCE ADDED 2026-08-13: row previously had NO readable URL. ACM DL official record (403 to curl, human-readable) + Semantic Scholar record (HTTP 202). Author PDF available via Semantic Scholar page; manual download required. CHARTED 2026-08-14 batch 5e (Area 3; collapsed QC). ABSTRACT ONLY.</t>
        </is>
      </c>
      <c r="H59" s="2" t="inlineStr">
        <is>
          <t>Pierce — Undesigning Technology pdf DOI readable source</t>
        </is>
      </c>
      <c r="I59" s="4" t="inlineStr">
        <is>
          <t>https://www.google.com/search?q=Pierce+%E2%80%94+Undesigning+Technology+pdf+DOI+readable+source</t>
        </is>
      </c>
      <c r="J59" s="2" t="inlineStr">
        <is>
          <t>2026-08-13</t>
        </is>
      </c>
      <c r="K59" s="2" t="inlineStr">
        <is>
          <t>Charted - 2026-08-14</t>
        </is>
      </c>
      <c r="L59" s="2" t="n">
        <v>3</v>
      </c>
      <c r="M59" s="2" t="inlineStr">
        <is>
          <t>WS-L</t>
        </is>
      </c>
      <c r="N59" s="2" t="inlineStr">
        <is>
          <t>B</t>
        </is>
      </c>
      <c r="O59" s="2" t="inlineStr">
        <is>
          <t>DESIGN VETO/CRITIQUE</t>
        </is>
      </c>
      <c r="P59" s="2" t="inlineStr">
        <is>
          <t>theoretical</t>
        </is>
      </c>
      <c r="Q59" s="2" t="inlineStr">
        <is>
          <t>HCI</t>
        </is>
      </c>
      <c r="R59" s="2" t="inlineStr">
        <is>
          <t>conceptual</t>
        </is>
      </c>
      <c r="S59" s="2" t="inlineStr">
        <is>
          <t>medium</t>
        </is>
      </c>
      <c r="T59" s="2" t="inlineStr">
        <is>
          <t>Undesigning technology — the practice of designing for non-use, disconnection, or refusal.</t>
        </is>
      </c>
      <c r="U59" s="2" t="inlineStr">
        <is>
          <t>not_quantifiable (theoretical, abstract-level only). Strength = medium as the DESIGN VETO/CRITIQUE row (construct-role claim, abstract-level caveat).</t>
        </is>
      </c>
      <c r="V59" s="2" t="inlineStr">
        <is>
          <t>Abstract/synopsis only — full text not open. Flagged as verification debt.</t>
        </is>
      </c>
      <c r="W59" s="2" t="inlineStr">
        <is>
          <t>If undesigning does NOT produce better outcomes, the approach fails.</t>
        </is>
      </c>
      <c r="X59" s="2" t="inlineStr">
        <is>
          <t>no</t>
        </is>
      </c>
      <c r="Y59" s="2" t="inlineStr">
        <is>
          <t>partial</t>
        </is>
      </c>
      <c r="Z59" s="2" t="inlineStr">
        <is>
          <t>Design for intentional non-use or limited use.</t>
        </is>
      </c>
      <c r="AA59" s="2" t="inlineStr">
        <is>
          <t>Non-use as a valid outcome.</t>
        </is>
      </c>
      <c r="AB59" s="2" t="inlineStr">
        <is>
          <t>CF-9</t>
        </is>
      </c>
      <c r="AC59" s="2" t="inlineStr">
        <is>
          <t>Reversibility Check</t>
        </is>
      </c>
      <c r="AE59" s="2" t="inlineStr">
        <is>
          <t>Empirical / applied research</t>
        </is>
      </c>
      <c r="AF59" s="2" t="inlineStr">
        <is>
          <t>24 months</t>
        </is>
      </c>
      <c r="AG59" s="2" t="inlineStr">
        <is>
          <t>2026-08-13</t>
        </is>
      </c>
      <c r="AH59" s="2" t="inlineStr">
        <is>
          <t>2028-08-13</t>
        </is>
      </c>
      <c r="AI59" s="2" t="inlineStr">
        <is>
          <t>Current - located, access/fit caveat</t>
        </is>
      </c>
    </row>
    <row r="60">
      <c r="A60" s="2" t="inlineStr">
        <is>
          <t>A3-10</t>
        </is>
      </c>
      <c r="B60" s="2" t="inlineStr">
        <is>
          <t>Rapp &amp; Boldi — open issues in persuasive technologies</t>
        </is>
      </c>
      <c r="C60" s="2" t="inlineStr">
        <is>
          <t>https://iris.unito.it/retrieve/handle/2318/2014670/1377111/HCII24-ready-v50-final.pdf</t>
        </is>
      </c>
      <c r="D60" s="2" t="inlineStr">
        <is>
          <t>https://doi.org/10.1007/978-3-031-60428-7_8</t>
        </is>
      </c>
      <c r="E60" t="inlineStr">
        <is>
          <t>Publisher/landing only</t>
        </is>
      </c>
      <c r="F60" s="2" t="inlineStr">
        <is>
          <t>Located - readable source</t>
        </is>
      </c>
      <c r="G60" s="2" t="inlineStr">
        <is>
          <t>Author manuscript and DOI landing located. CHARTED 2026-08-14 batch 5e (Area 3; collapsed QC). ABSTRACT ONLY.</t>
        </is>
      </c>
      <c r="H60" s="2" t="inlineStr">
        <is>
          <t>Rapp &amp; Boldi — open issues in persuasive technologies pdf DOI readable source</t>
        </is>
      </c>
      <c r="I60" s="4" t="inlineStr">
        <is>
          <t>https://www.google.com/search?q=Rapp+%26+Boldi+%E2%80%94+open+issues+in+persuasive+technologies+pdf+DOI+readable+source</t>
        </is>
      </c>
      <c r="J60" s="2" t="inlineStr">
        <is>
          <t>2026-08-13</t>
        </is>
      </c>
      <c r="K60" s="2" t="inlineStr">
        <is>
          <t>Charted - 2026-08-14</t>
        </is>
      </c>
      <c r="L60" s="2" t="n">
        <v>3</v>
      </c>
      <c r="M60" s="2" t="inlineStr">
        <is>
          <t>WS-F</t>
        </is>
      </c>
      <c r="N60" s="2" t="inlineStr">
        <is>
          <t>B</t>
        </is>
      </c>
      <c r="O60" s="2" t="inlineStr">
        <is>
          <t>WARNING/CRITIQUE</t>
        </is>
      </c>
      <c r="P60" s="2" t="inlineStr">
        <is>
          <t>theoretical</t>
        </is>
      </c>
      <c r="Q60" s="2" t="inlineStr">
        <is>
          <t>HCI</t>
        </is>
      </c>
      <c r="R60" s="2" t="inlineStr">
        <is>
          <t>conceptual</t>
        </is>
      </c>
      <c r="S60" s="2" t="inlineStr">
        <is>
          <t>medium</t>
        </is>
      </c>
      <c r="T60" s="2" t="inlineStr">
        <is>
          <t>Open issues in persuasive technologies — ethical and practical challenges in designing technologies that aim to change user behavior.</t>
        </is>
      </c>
      <c r="U60" s="2" t="inlineStr">
        <is>
          <t>not_quantifiable (theoretical, abstract-level only). Strength = medium as the WARNING/CRITIQUE row (construct-role claim, abstract-level caveat).</t>
        </is>
      </c>
      <c r="V60" s="2" t="inlineStr">
        <is>
          <t>Abstract/synopsis only — full text not open. Flagged as verification debt.</t>
        </is>
      </c>
      <c r="W60" s="2" t="inlineStr">
        <is>
          <t>If persuasive technologies do NOT raise ethical concerns, the critique is overstated.</t>
        </is>
      </c>
      <c r="X60" s="2" t="inlineStr">
        <is>
          <t>no</t>
        </is>
      </c>
      <c r="Y60" s="2" t="inlineStr">
        <is>
          <t>yes</t>
        </is>
      </c>
      <c r="Z60" s="2" t="inlineStr">
        <is>
          <t>Identify and address ethical issues in persuasive design.</t>
        </is>
      </c>
      <c r="AA60" s="2" t="inlineStr">
        <is>
          <t>Persuasion as ethical concern.</t>
        </is>
      </c>
      <c r="AB60" s="2" t="inlineStr">
        <is>
          <t>CF-4</t>
        </is>
      </c>
      <c r="AC60" s="2" t="inlineStr">
        <is>
          <t>Design Veto Catalogue</t>
        </is>
      </c>
      <c r="AE60" s="2" t="inlineStr">
        <is>
          <t>Empirical / applied research</t>
        </is>
      </c>
      <c r="AF60" s="2" t="inlineStr">
        <is>
          <t>24 months</t>
        </is>
      </c>
      <c r="AG60" s="2" t="inlineStr">
        <is>
          <t>2026-08-13</t>
        </is>
      </c>
      <c r="AH60" s="2" t="inlineStr">
        <is>
          <t>2028-08-13</t>
        </is>
      </c>
      <c r="AI60" s="2" t="inlineStr">
        <is>
          <t>Current - re-search on schedule</t>
        </is>
      </c>
    </row>
    <row r="61">
      <c r="A61" s="2" t="inlineStr">
        <is>
          <t>A4-01</t>
        </is>
      </c>
      <c r="B61" s="2" t="inlineStr">
        <is>
          <t>Kaplan &amp; Kaplan — The Experience of Nature</t>
        </is>
      </c>
      <c r="C61" s="7" t="inlineStr">
        <is>
          <t>https://archive.org/details/experienceofnatu0000kapl</t>
        </is>
      </c>
      <c r="D61" s="7" t="inlineStr">
        <is>
          <t>https://www.cambridge.org/core/books/experience-of-nature/A378A2C517FB18B356519D1E5025001C</t>
        </is>
      </c>
      <c r="E61" s="6" t="inlineStr">
        <is>
          <t>Publisher/landing only</t>
        </is>
      </c>
      <c r="F61" s="7" t="inlineStr">
        <is>
          <t>Located - restricted readable</t>
        </is>
      </c>
      <c r="G61" s="2" t="inlineStr">
        <is>
          <t>Archive lending and Cambridge landing located. CHARTED 2026-08-14 batch 5e (Area 4; collapsed QC). ABSTRACT ONLY.</t>
        </is>
      </c>
      <c r="H61" s="2" t="inlineStr">
        <is>
          <t>Kaplan &amp; Kaplan — The Experience of Nature pdf DOI readable source</t>
        </is>
      </c>
      <c r="I61" s="4" t="inlineStr">
        <is>
          <t>https://www.google.com/search?q=Kaplan+%26+Kaplan+%E2%80%94+The+Experience+of+Nature+pdf+DOI+readable+source</t>
        </is>
      </c>
      <c r="J61" s="7" t="inlineStr">
        <is>
          <t>2026-08-13</t>
        </is>
      </c>
      <c r="K61" s="7" t="inlineStr">
        <is>
          <t>Charted - 2026-08-14</t>
        </is>
      </c>
      <c r="L61" s="2" t="n">
        <v>4</v>
      </c>
      <c r="M61" s="2" t="inlineStr">
        <is>
          <t>WS-E</t>
        </is>
      </c>
      <c r="N61" s="2" t="inlineStr">
        <is>
          <t>A</t>
        </is>
      </c>
      <c r="O61" s="2" t="inlineStr">
        <is>
          <t>TELOS/MECHANISM</t>
        </is>
      </c>
      <c r="P61" s="2" t="inlineStr">
        <is>
          <t>theoretical</t>
        </is>
      </c>
      <c r="Q61" s="2" t="inlineStr">
        <is>
          <t>environmental psych</t>
        </is>
      </c>
      <c r="R61" s="2" t="inlineStr">
        <is>
          <t>conceptual</t>
        </is>
      </c>
      <c r="S61" s="2" t="inlineStr">
        <is>
          <t>high</t>
        </is>
      </c>
      <c r="T61" s="2" t="inlineStr">
        <is>
          <t>The Kaplans' restorative environments theory: natural environments restore directed attention and reduce mental fatigue. Four key properties: being away, extent, fascination, and compatibility.</t>
        </is>
      </c>
      <c r="U61" s="2" t="inlineStr">
        <is>
          <t>not_quantifiable (theoretical, abstract-level only). Strength = high as the TELOS/MECHANISM row — the restorative-environments thesis is the warrant for the Arousal/Flow/Task-Switching Layer (construct-role claim, abstract-level caveat).</t>
        </is>
      </c>
      <c r="V61" s="2" t="inlineStr">
        <is>
          <t>Abstract/synopsis only — full text not open. Flagged as verification debt.</t>
        </is>
      </c>
      <c r="W61" s="2" t="inlineStr">
        <is>
          <t>If natural environments do NOT restore directed attention, the thesis fails.</t>
        </is>
      </c>
      <c r="X61" s="2" t="inlineStr">
        <is>
          <t>partial</t>
        </is>
      </c>
      <c r="Y61" s="2" t="inlineStr">
        <is>
          <t>partial</t>
        </is>
      </c>
      <c r="Z61" s="2" t="inlineStr">
        <is>
          <t>Incorporate restorative environment properties into the tool's design.</t>
        </is>
      </c>
      <c r="AA61" s="2" t="inlineStr">
        <is>
          <t>Nature as restorative.</t>
        </is>
      </c>
      <c r="AB61" s="2" t="inlineStr">
        <is>
          <t>CF-6</t>
        </is>
      </c>
      <c r="AC61" s="2" t="inlineStr">
        <is>
          <t>Arousal/Flow/Task-Switching Layer</t>
        </is>
      </c>
      <c r="AE61" s="2" t="inlineStr">
        <is>
          <t>Empirical / applied research</t>
        </is>
      </c>
      <c r="AF61" s="2" t="inlineStr">
        <is>
          <t>24 months</t>
        </is>
      </c>
      <c r="AG61" s="2" t="inlineStr">
        <is>
          <t>2026-08-13</t>
        </is>
      </c>
      <c r="AH61" s="2" t="inlineStr">
        <is>
          <t>2028-08-13</t>
        </is>
      </c>
      <c r="AI61" s="2" t="inlineStr">
        <is>
          <t>Current - located, access/fit caveat</t>
        </is>
      </c>
    </row>
    <row r="62">
      <c r="A62" s="2" t="inlineStr">
        <is>
          <t>A4-02</t>
        </is>
      </c>
      <c r="B62" s="2" t="inlineStr">
        <is>
          <t>Berman, Jonides &amp; Kaplan — Cognitive Benefits of Nature</t>
        </is>
      </c>
      <c r="C62" s="7" t="inlineStr">
        <is>
          <t>https://sites.lsa.umich.edu/jonides-lab/wp-content/uploads/sites/439/2016/10/2008_2.pdf</t>
        </is>
      </c>
      <c r="D62" s="7" t="inlineStr">
        <is>
          <t>https://doi.org/10.1111/j.1467-9280.2008.02225.x</t>
        </is>
      </c>
      <c r="E62" s="6" t="inlineStr">
        <is>
          <t>Publisher/landing only</t>
        </is>
      </c>
      <c r="F62" s="7" t="inlineStr">
        <is>
          <t>Located - readable source (replacement verified 2026-08-13)</t>
        </is>
      </c>
      <c r="G62" s="2" t="inlineStr">
        <is>
          <t>Readable PDF located for cognitive benefits of nature interaction.; REPLACEMENT 2026-08-13: original link HTTP 500. Jonides lab copy verified (6p, text OK, Berman, Jonides &amp; Kaplan 2008). CHARTED 2026-08-14 batch 5e (Area 4; collapsed QC). ABSTRACT ONLY.</t>
        </is>
      </c>
      <c r="H62" s="2" t="inlineStr">
        <is>
          <t>Berman, Jonides &amp; Kaplan — Cognitive Benefits of Nature pdf DOI readable source</t>
        </is>
      </c>
      <c r="I62" s="4" t="inlineStr">
        <is>
          <t>https://www.google.com/search?q=Berman%2C+Jonides+%26+Kaplan+%E2%80%94+Cognitive+Benefits+of+Nature+pdf+DOI+readable+source</t>
        </is>
      </c>
      <c r="J62" s="7" t="inlineStr">
        <is>
          <t>2026-08-13</t>
        </is>
      </c>
      <c r="K62" s="7" t="inlineStr">
        <is>
          <t>Charted - 2026-08-14</t>
        </is>
      </c>
      <c r="L62" s="2" t="n">
        <v>4</v>
      </c>
      <c r="M62" s="2" t="inlineStr">
        <is>
          <t>WS-E</t>
        </is>
      </c>
      <c r="N62" s="2" t="inlineStr">
        <is>
          <t>A</t>
        </is>
      </c>
      <c r="O62" s="2" t="inlineStr">
        <is>
          <t>MECHANISM</t>
        </is>
      </c>
      <c r="P62" s="2" t="inlineStr">
        <is>
          <t>empirical</t>
        </is>
      </c>
      <c r="Q62" s="2" t="inlineStr">
        <is>
          <t>environmental psych</t>
        </is>
      </c>
      <c r="R62" s="2" t="inlineStr">
        <is>
          <t>correlational</t>
        </is>
      </c>
      <c r="S62" s="2" t="inlineStr">
        <is>
          <t>medium</t>
        </is>
      </c>
      <c r="T62" s="2" t="inlineStr">
        <is>
          <t>Cognitive benefits of nature — experimental evidence that walking in nature (vs. urban environments) improves working memory, executive function, and directed attention.</t>
        </is>
      </c>
      <c r="U62" s="2" t="inlineStr">
        <is>
          <t>not_quantifiable (empirical, abstract-level only). Strength = high as the MECHANISM row (construct-role claim, abstract-level caveat).</t>
        </is>
      </c>
      <c r="V62" s="2" t="inlineStr">
        <is>
          <t>Abstract/synopsis only — full text not open. Flagged as verification debt.</t>
        </is>
      </c>
      <c r="W62" s="2" t="inlineStr">
        <is>
          <t>If nature exposure does NOT improve cognitive function, the thesis fails.</t>
        </is>
      </c>
      <c r="X62" s="2" t="inlineStr">
        <is>
          <t>partial</t>
        </is>
      </c>
      <c r="Y62" s="2" t="inlineStr">
        <is>
          <t>no</t>
        </is>
      </c>
      <c r="Z62" s="2" t="inlineStr">
        <is>
          <t>Incorporate nature exposure into the tool's design.</t>
        </is>
      </c>
      <c r="AA62" s="2" t="inlineStr">
        <is>
          <t>Nature as cognitive resource.</t>
        </is>
      </c>
      <c r="AB62" s="2" t="inlineStr">
        <is>
          <t>CF-6</t>
        </is>
      </c>
      <c r="AC62" s="2" t="inlineStr">
        <is>
          <t>Workday Interruption Protocol</t>
        </is>
      </c>
      <c r="AE62" s="2" t="inlineStr">
        <is>
          <t>Empirical / applied research</t>
        </is>
      </c>
      <c r="AF62" s="2" t="inlineStr">
        <is>
          <t>24 months</t>
        </is>
      </c>
      <c r="AG62" s="2" t="inlineStr">
        <is>
          <t>2026-08-13</t>
        </is>
      </c>
      <c r="AH62" s="2" t="inlineStr">
        <is>
          <t>2028-08-13</t>
        </is>
      </c>
      <c r="AI62" s="2" t="inlineStr">
        <is>
          <t>Current - re-search on schedule</t>
        </is>
      </c>
    </row>
    <row r="63">
      <c r="A63" s="2" t="inlineStr">
        <is>
          <t>A4-03</t>
        </is>
      </c>
      <c r="B63" s="2" t="inlineStr">
        <is>
          <t>Scannell &amp; Gifford — Place Attachment (tripartite framework)</t>
        </is>
      </c>
      <c r="C63" s="7" t="inlineStr">
        <is>
          <t>https://www.researchgate.net/publication/223552061_Defining_place_attachment_A_tripartite_organizing_framework</t>
        </is>
      </c>
      <c r="D63" s="7" t="inlineStr">
        <is>
          <t>https://doi.org/10.1016/j.jenvp.2009.09.006</t>
        </is>
      </c>
      <c r="E63" s="6" t="inlineStr">
        <is>
          <t>Publisher/landing only</t>
        </is>
      </c>
      <c r="F63" s="7" t="inlineStr">
        <is>
          <t>Located - readable or request source</t>
        </is>
      </c>
      <c r="G63" s="2" t="inlineStr">
        <is>
          <t>Source located; DOI landing recorded. Check accessible copy during charting. CHARTED 2026-08-14 batch 5e (Area 4; collapsed QC). ABSTRACT ONLY.</t>
        </is>
      </c>
      <c r="H63" s="2" t="inlineStr">
        <is>
          <t>Scannell &amp; Gifford — Place Attachment (tripartite framework) pdf DOI readable source</t>
        </is>
      </c>
      <c r="I63" s="4" t="inlineStr">
        <is>
          <t>https://www.google.com/search?q=Scannell+%26+Gifford+%E2%80%94+Place+Attachment+%28tripartite+framework%29+pdf+DOI+readable+source</t>
        </is>
      </c>
      <c r="J63" s="7" t="inlineStr">
        <is>
          <t>2026-08-13</t>
        </is>
      </c>
      <c r="K63" s="7" t="inlineStr">
        <is>
          <t>Charted - 2026-08-14</t>
        </is>
      </c>
      <c r="L63" s="2" t="n">
        <v>4</v>
      </c>
      <c r="M63" s="2" t="inlineStr">
        <is>
          <t>WS-E</t>
        </is>
      </c>
      <c r="N63" s="2" t="inlineStr">
        <is>
          <t>A</t>
        </is>
      </c>
      <c r="O63" s="2" t="inlineStr">
        <is>
          <t>CONSTRUCT/MEASURE</t>
        </is>
      </c>
      <c r="P63" s="2" t="inlineStr">
        <is>
          <t>theoretical</t>
        </is>
      </c>
      <c r="Q63" s="2" t="inlineStr">
        <is>
          <t>environmental psych</t>
        </is>
      </c>
      <c r="R63" s="2" t="inlineStr">
        <is>
          <t>conceptual</t>
        </is>
      </c>
      <c r="S63" s="2" t="inlineStr">
        <is>
          <t>high</t>
        </is>
      </c>
      <c r="T63" s="2" t="inlineStr">
        <is>
          <t>Place attachment tripartite framework: person, place, and process. Place attachment is multidimensional.</t>
        </is>
      </c>
      <c r="U63" s="2" t="inlineStr">
        <is>
          <t>not_quantifiable (theoretical, abstract-level only). Strength = medium as the CONSTRUCT/MEASURE row (construct-role claim, abstract-level caveat).</t>
        </is>
      </c>
      <c r="V63" s="2" t="inlineStr">
        <is>
          <t>Abstract/synopsis only — full text not open. Flagged as verification debt.</t>
        </is>
      </c>
      <c r="W63" s="2" t="inlineStr">
        <is>
          <t>If place attachment is NOT tripartite, the thesis fails.</t>
        </is>
      </c>
      <c r="X63" s="2" t="inlineStr">
        <is>
          <t>no</t>
        </is>
      </c>
      <c r="Y63" s="2" t="inlineStr">
        <is>
          <t>partial</t>
        </is>
      </c>
      <c r="Z63" s="2" t="inlineStr">
        <is>
          <t>Support place attachment in design.</t>
        </is>
      </c>
      <c r="AA63" s="2" t="inlineStr">
        <is>
          <t>Place as cosmotechnic dimension.</t>
        </is>
      </c>
      <c r="AB63" s="2" t="inlineStr">
        <is>
          <t>CF-6</t>
        </is>
      </c>
      <c r="AC63" s="2" t="inlineStr">
        <is>
          <t>Cosmotechnic Audit Card</t>
        </is>
      </c>
      <c r="AE63" s="2" t="inlineStr">
        <is>
          <t>Empirical / applied research</t>
        </is>
      </c>
      <c r="AF63" s="2" t="inlineStr">
        <is>
          <t>24 months</t>
        </is>
      </c>
      <c r="AG63" s="2" t="inlineStr">
        <is>
          <t>2026-08-13</t>
        </is>
      </c>
      <c r="AH63" s="2" t="inlineStr">
        <is>
          <t>2028-08-13</t>
        </is>
      </c>
      <c r="AI63" s="2" t="inlineStr">
        <is>
          <t>Current - re-search on schedule</t>
        </is>
      </c>
    </row>
    <row r="64">
      <c r="A64" s="2" t="inlineStr">
        <is>
          <t>A4-04</t>
        </is>
      </c>
      <c r="B64" s="2" t="inlineStr">
        <is>
          <t>Menatti et al. — Place Attachment &amp; Landscape Restorativeness</t>
        </is>
      </c>
      <c r="C64" s="7" t="inlineStr">
        <is>
          <t>https://repositorio.udd.cl/bitstream/11447/6275/1/Place%20attachment%20and%20identification%20as%20predictors%20of%20expected%20landscape%20restorativeness.pdf</t>
        </is>
      </c>
      <c r="D64" s="7" t="inlineStr">
        <is>
          <t>https://doi.org/10.1016/j.jenvp.2019.03.005</t>
        </is>
      </c>
      <c r="E64" s="6" t="inlineStr">
        <is>
          <t>Publisher/landing only</t>
        </is>
      </c>
      <c r="F64" s="7" t="inlineStr">
        <is>
          <t>Located - readable source</t>
        </is>
      </c>
      <c r="G64" s="2" t="inlineStr">
        <is>
          <t>Open repository PDF located. CHARTED 2026-08-14 batch 5e (Area 4; collapsed QC). ABSTRACT ONLY.</t>
        </is>
      </c>
      <c r="H64" s="2" t="inlineStr">
        <is>
          <t>Menatti et al. — Place Attachment &amp; Landscape Restorativeness pdf DOI readable source</t>
        </is>
      </c>
      <c r="I64" s="4" t="inlineStr">
        <is>
          <t>https://www.google.com/search?q=Menatti+et+al.+%E2%80%94+Place+Attachment+%26+Landscape+Restorativeness+pdf+DOI+readable+source</t>
        </is>
      </c>
      <c r="J64" s="7" t="inlineStr">
        <is>
          <t>2026-08-13</t>
        </is>
      </c>
      <c r="K64" s="7" t="inlineStr">
        <is>
          <t>Charted - 2026-08-14</t>
        </is>
      </c>
      <c r="L64" s="2" t="n">
        <v>4</v>
      </c>
      <c r="M64" s="2" t="inlineStr">
        <is>
          <t>WS-E</t>
        </is>
      </c>
      <c r="N64" s="2" t="inlineStr">
        <is>
          <t>A</t>
        </is>
      </c>
      <c r="O64" s="2" t="inlineStr">
        <is>
          <t>MEASURE</t>
        </is>
      </c>
      <c r="P64" s="2" t="inlineStr">
        <is>
          <t>empirical</t>
        </is>
      </c>
      <c r="Q64" s="2" t="inlineStr">
        <is>
          <t>environmental psych</t>
        </is>
      </c>
      <c r="R64" s="2" t="inlineStr">
        <is>
          <t>correlational</t>
        </is>
      </c>
      <c r="S64" s="2" t="inlineStr">
        <is>
          <t>medium</t>
        </is>
      </c>
      <c r="T64" s="2" t="inlineStr">
        <is>
          <t>Place attachment and perceived restorativeness are measurable constructs that predict well-being and pro-environmental behavior.</t>
        </is>
      </c>
      <c r="U64" s="2" t="inlineStr">
        <is>
          <t>not_quantifiable (empirical, abstract-level only). Strength = medium as the MEASURE/Telos row (construct-role claim, abstract-level caveat).</t>
        </is>
      </c>
      <c r="V64" s="2" t="inlineStr">
        <is>
          <t>Abstract/synopsis only — full text not open. Flagged as verification debt.</t>
        </is>
      </c>
      <c r="W64" s="2" t="inlineStr">
        <is>
          <t>If place attachment does NOT predict well-being, the thesis fails.</t>
        </is>
      </c>
      <c r="X64" s="2" t="inlineStr">
        <is>
          <t>partial</t>
        </is>
      </c>
      <c r="Y64" s="2" t="inlineStr">
        <is>
          <t>partial</t>
        </is>
      </c>
      <c r="Z64" s="2" t="inlineStr">
        <is>
          <t>Measure and support place attachment.</t>
        </is>
      </c>
      <c r="AA64" s="2" t="inlineStr">
        <is>
          <t>Place as measurable.</t>
        </is>
      </c>
      <c r="AB64" s="2" t="inlineStr">
        <is>
          <t>CF-6</t>
        </is>
      </c>
      <c r="AC64" s="2" t="inlineStr">
        <is>
          <t>Technodiversity &amp; Cultural Fit Sheet</t>
        </is>
      </c>
      <c r="AE64" s="2" t="inlineStr">
        <is>
          <t>Empirical / applied research</t>
        </is>
      </c>
      <c r="AF64" s="2" t="inlineStr">
        <is>
          <t>24 months</t>
        </is>
      </c>
      <c r="AG64" s="2" t="inlineStr">
        <is>
          <t>2026-08-13</t>
        </is>
      </c>
      <c r="AH64" s="2" t="inlineStr">
        <is>
          <t>2028-08-13</t>
        </is>
      </c>
      <c r="AI64" s="2" t="inlineStr">
        <is>
          <t>Current - re-search on schedule</t>
        </is>
      </c>
    </row>
    <row r="65">
      <c r="A65" s="2" t="inlineStr">
        <is>
          <t>A4-05</t>
        </is>
      </c>
      <c r="B65" s="2" t="inlineStr">
        <is>
          <t>Yoon et al. — Perceived Restorativeness &amp; Place Attachment</t>
        </is>
      </c>
      <c r="C65" s="7" t="inlineStr">
        <is>
          <t>https://www.frontiersin.org/journals/psychology/articles/10.3389/fpsyg.2023.1201112/pdf</t>
        </is>
      </c>
      <c r="D65" s="7" t="inlineStr">
        <is>
          <t>https://doi.org/10.3389/fpsyg.2023.1201112</t>
        </is>
      </c>
      <c r="E65" s="6" t="inlineStr">
        <is>
          <t>Publisher/landing only</t>
        </is>
      </c>
      <c r="F65" s="7" t="inlineStr">
        <is>
          <t>Located - readable source</t>
        </is>
      </c>
      <c r="G65" s="2" t="inlineStr">
        <is>
          <t>Open Frontiers PDF located. CHARTED 2026-08-14 batch 5e (Area 4; collapsed QC). ABSTRACT ONLY.</t>
        </is>
      </c>
      <c r="H65" s="2" t="inlineStr">
        <is>
          <t>Yoon et al. — Perceived Restorativeness &amp; Place Attachment pdf DOI readable source</t>
        </is>
      </c>
      <c r="I65" s="4" t="inlineStr">
        <is>
          <t>https://www.google.com/search?q=Yoon+et+al.+%E2%80%94+Perceived+Restorativeness+%26+Place+Attachment+pdf+DOI+readable+source</t>
        </is>
      </c>
      <c r="J65" s="7" t="inlineStr">
        <is>
          <t>2026-08-13</t>
        </is>
      </c>
      <c r="K65" s="7" t="inlineStr">
        <is>
          <t>Charted - 2026-08-14</t>
        </is>
      </c>
      <c r="L65" s="2" t="n">
        <v>4</v>
      </c>
      <c r="M65" s="2" t="inlineStr">
        <is>
          <t>WS-E</t>
        </is>
      </c>
      <c r="N65" s="2" t="inlineStr">
        <is>
          <t>A</t>
        </is>
      </c>
      <c r="O65" s="2" t="inlineStr">
        <is>
          <t>MEASURE</t>
        </is>
      </c>
      <c r="P65" s="2" t="inlineStr">
        <is>
          <t>empirical</t>
        </is>
      </c>
      <c r="Q65" s="2" t="inlineStr">
        <is>
          <t>environmental psych</t>
        </is>
      </c>
      <c r="R65" s="2" t="inlineStr">
        <is>
          <t>correlational</t>
        </is>
      </c>
      <c r="S65" s="2" t="inlineStr">
        <is>
          <t>medium</t>
        </is>
      </c>
      <c r="T65" s="2" t="inlineStr">
        <is>
          <t>Place attachment and perceived restorativeness are measurable constructs that predict well-being and pro-environmental behavior.</t>
        </is>
      </c>
      <c r="U65" s="2" t="inlineStr">
        <is>
          <t>not_quantifiable (empirical, abstract-level only). Strength = medium as the MEASURE/Telos row (construct-role claim, abstract-level caveat).</t>
        </is>
      </c>
      <c r="V65" s="2" t="inlineStr">
        <is>
          <t>Abstract/synopsis only — full text not open. Flagged as verification debt.</t>
        </is>
      </c>
      <c r="W65" s="2" t="inlineStr">
        <is>
          <t>If place attachment does NOT predict well-being, the thesis fails.</t>
        </is>
      </c>
      <c r="X65" s="2" t="inlineStr">
        <is>
          <t>partial</t>
        </is>
      </c>
      <c r="Y65" s="2" t="inlineStr">
        <is>
          <t>partial</t>
        </is>
      </c>
      <c r="Z65" s="2" t="inlineStr">
        <is>
          <t>Measure and support place attachment.</t>
        </is>
      </c>
      <c r="AA65" s="2" t="inlineStr">
        <is>
          <t>Place as measurable.</t>
        </is>
      </c>
      <c r="AB65" s="2" t="inlineStr">
        <is>
          <t>CF-6</t>
        </is>
      </c>
      <c r="AC65" s="2" t="inlineStr">
        <is>
          <t>Cosmotechnic Audit Card</t>
        </is>
      </c>
      <c r="AE65" s="2" t="inlineStr">
        <is>
          <t>Empirical / applied research</t>
        </is>
      </c>
      <c r="AF65" s="2" t="inlineStr">
        <is>
          <t>24 months</t>
        </is>
      </c>
      <c r="AG65" s="2" t="inlineStr">
        <is>
          <t>2026-08-13</t>
        </is>
      </c>
      <c r="AH65" s="2" t="inlineStr">
        <is>
          <t>2028-08-13</t>
        </is>
      </c>
      <c r="AI65" s="2" t="inlineStr">
        <is>
          <t>Current - re-search on schedule</t>
        </is>
      </c>
    </row>
    <row r="66">
      <c r="A66" s="2" t="inlineStr">
        <is>
          <t>A4-06</t>
        </is>
      </c>
      <c r="B66" s="2" t="inlineStr">
        <is>
          <t>Chang et al. — Place Attachment &amp; Pro-Environmental Intentions</t>
        </is>
      </c>
      <c r="C66" s="7" t="inlineStr">
        <is>
          <t>https://pmc.ncbi.nlm.nih.gov/articles/PMC12832409/</t>
        </is>
      </c>
      <c r="D66" s="7" t="inlineStr">
        <is>
          <t>https://doi.org/10.3389/fpsyg.2025.1678177</t>
        </is>
      </c>
      <c r="E66" s="6" t="inlineStr">
        <is>
          <t>Publisher/landing only</t>
        </is>
      </c>
      <c r="F66" s="7" t="inlineStr">
        <is>
          <t>Located - readable source</t>
        </is>
      </c>
      <c r="G66" s="2" t="inlineStr">
        <is>
          <t>Open PMC/Frontiers source located. CHARTED 2026-08-14 batch 5e (Area 4; collapsed QC). ABSTRACT ONLY.</t>
        </is>
      </c>
      <c r="H66" s="2" t="inlineStr">
        <is>
          <t>Chang et al. — Place Attachment &amp; Pro-Environmental Intentions pdf DOI readable source</t>
        </is>
      </c>
      <c r="I66" s="4" t="inlineStr">
        <is>
          <t>https://www.google.com/search?q=Chang+et+al.+%E2%80%94+Place+Attachment+%26+Pro-Environmental+Intentions+pdf+DOI+readable+source</t>
        </is>
      </c>
      <c r="J66" s="7" t="inlineStr">
        <is>
          <t>2026-08-13</t>
        </is>
      </c>
      <c r="K66" s="7" t="inlineStr">
        <is>
          <t>Charted - 2026-08-14</t>
        </is>
      </c>
      <c r="L66" s="2" t="n">
        <v>4</v>
      </c>
      <c r="M66" s="2" t="inlineStr">
        <is>
          <t>WS-E</t>
        </is>
      </c>
      <c r="N66" s="2" t="inlineStr">
        <is>
          <t>A</t>
        </is>
      </c>
      <c r="O66" s="2" t="inlineStr">
        <is>
          <t>TELOS</t>
        </is>
      </c>
      <c r="P66" s="2" t="inlineStr">
        <is>
          <t>empirical</t>
        </is>
      </c>
      <c r="Q66" s="2" t="inlineStr">
        <is>
          <t>environmental psych</t>
        </is>
      </c>
      <c r="R66" s="2" t="inlineStr">
        <is>
          <t>correlational</t>
        </is>
      </c>
      <c r="S66" s="2" t="inlineStr">
        <is>
          <t>medium</t>
        </is>
      </c>
      <c r="T66" s="2" t="inlineStr">
        <is>
          <t>Place attachment and perceived restorativeness are measurable constructs that predict well-being and pro-environmental behavior.</t>
        </is>
      </c>
      <c r="U66" s="2" t="inlineStr">
        <is>
          <t>not_quantifiable (empirical, abstract-level only). Strength = medium as the MEASURE/Telos row (construct-role claim, abstract-level caveat).</t>
        </is>
      </c>
      <c r="V66" s="2" t="inlineStr">
        <is>
          <t>Abstract/synopsis only — full text not open. Flagged as verification debt.</t>
        </is>
      </c>
      <c r="W66" s="2" t="inlineStr">
        <is>
          <t>If place attachment does NOT predict well-being, the thesis fails.</t>
        </is>
      </c>
      <c r="X66" s="2" t="inlineStr">
        <is>
          <t>partial</t>
        </is>
      </c>
      <c r="Y66" s="2" t="inlineStr">
        <is>
          <t>partial</t>
        </is>
      </c>
      <c r="Z66" s="2" t="inlineStr">
        <is>
          <t>Measure and support place attachment.</t>
        </is>
      </c>
      <c r="AA66" s="2" t="inlineStr">
        <is>
          <t>Place as measurable.</t>
        </is>
      </c>
      <c r="AB66" s="2" t="inlineStr">
        <is>
          <t>CF-6</t>
        </is>
      </c>
      <c r="AC66" s="2" t="inlineStr">
        <is>
          <t>Anti-Extraction Audit</t>
        </is>
      </c>
      <c r="AE66" s="2" t="inlineStr">
        <is>
          <t>Empirical / applied research</t>
        </is>
      </c>
      <c r="AF66" s="2" t="inlineStr">
        <is>
          <t>24 months</t>
        </is>
      </c>
      <c r="AG66" s="2" t="inlineStr">
        <is>
          <t>2026-08-13</t>
        </is>
      </c>
      <c r="AH66" s="2" t="inlineStr">
        <is>
          <t>2028-08-13</t>
        </is>
      </c>
      <c r="AI66" s="2" t="inlineStr">
        <is>
          <t>Current - re-search on schedule</t>
        </is>
      </c>
    </row>
    <row r="67">
      <c r="A67" s="2" t="inlineStr">
        <is>
          <t>A4-07</t>
        </is>
      </c>
      <c r="B67" s="2" t="inlineStr">
        <is>
          <t>Hartig et al. — Perceived Restorativeness Scale</t>
        </is>
      </c>
      <c r="C67" s="2" t="inlineStr">
        <is>
          <t>https://blogs.ubc.ca/2017wufor200/files/2017/02/Perceived-Restorativeness-Scale-Hartig-et-al-1997.pdf</t>
        </is>
      </c>
      <c r="D67" s="2" t="inlineStr">
        <is>
          <t>https://kipdf.com/validation-of-a-measure-of-perceived-environmental-restorativeness-1_5ac406811723dd66fecf6d6e.html</t>
        </is>
      </c>
      <c r="E67" t="inlineStr">
        <is>
          <t>Publisher/landing only</t>
        </is>
      </c>
      <c r="F67" s="2" t="inlineStr">
        <is>
          <t>Located - readable source</t>
        </is>
      </c>
      <c r="G67" s="2" t="inlineStr">
        <is>
          <t>PRS instrument PDF and validation-paper access path located; verify exact Hartig citation during charting. CHARTED 2026-08-14 batch 5e (Area 4; collapsed QC). ABSTRACT ONLY.</t>
        </is>
      </c>
      <c r="H67" s="2" t="inlineStr">
        <is>
          <t>Hartig et al. — Perceived Restorativeness Scale pdf DOI readable source</t>
        </is>
      </c>
      <c r="I67" s="4" t="inlineStr">
        <is>
          <t>https://www.google.com/search?q=Hartig+et+al.+%E2%80%94+Perceived+Restorativeness+Scale+pdf+DOI+readable+source</t>
        </is>
      </c>
      <c r="J67" s="2" t="inlineStr">
        <is>
          <t>2026-08-13</t>
        </is>
      </c>
      <c r="K67" s="2" t="inlineStr">
        <is>
          <t>Charted - 2026-08-14</t>
        </is>
      </c>
      <c r="L67" s="2" t="n">
        <v>4</v>
      </c>
      <c r="M67" s="2" t="inlineStr">
        <is>
          <t>WS-E</t>
        </is>
      </c>
      <c r="N67" s="2" t="inlineStr">
        <is>
          <t>B</t>
        </is>
      </c>
      <c r="O67" s="2" t="inlineStr">
        <is>
          <t>MEASURE</t>
        </is>
      </c>
      <c r="P67" s="2" t="inlineStr">
        <is>
          <t>methods</t>
        </is>
      </c>
      <c r="Q67" s="2" t="inlineStr">
        <is>
          <t>environmental psych</t>
        </is>
      </c>
      <c r="R67" s="2" t="inlineStr">
        <is>
          <t>conceptual</t>
        </is>
      </c>
      <c r="S67" s="2" t="inlineStr">
        <is>
          <t>medium</t>
        </is>
      </c>
      <c r="T67" s="2" t="inlineStr">
        <is>
          <t>The Perceived Restorativeness Scale (PRS) is a validated instrument for measuring the restorative quality of environments.</t>
        </is>
      </c>
      <c r="U67" s="2" t="inlineStr">
        <is>
          <t>not_quantifiable (methods, abstract-level only). Strength = medium as the MEASURE row (construct-role claim, abstract-level caveat).</t>
        </is>
      </c>
      <c r="V67" s="2" t="inlineStr">
        <is>
          <t>Abstract/synopsis only — full text not open. Flagged as verification debt.</t>
        </is>
      </c>
      <c r="W67" s="2" t="inlineStr">
        <is>
          <t>If the PRS is NOT valid, the instrument is unusable.</t>
        </is>
      </c>
      <c r="X67" s="2" t="inlineStr">
        <is>
          <t>partial</t>
        </is>
      </c>
      <c r="Y67" s="2" t="inlineStr">
        <is>
          <t>no</t>
        </is>
      </c>
      <c r="Z67" s="2" t="inlineStr">
        <is>
          <t>Use validated scales to measure restorativeness.</t>
        </is>
      </c>
      <c r="AA67" s="2" t="inlineStr">
        <is>
          <t>Restorativeness as measurable.</t>
        </is>
      </c>
      <c r="AC67" s="2" t="inlineStr">
        <is>
          <t>Phenomenological Registration Sheet</t>
        </is>
      </c>
      <c r="AE67" s="2" t="inlineStr">
        <is>
          <t>Empirical / applied research</t>
        </is>
      </c>
      <c r="AF67" s="2" t="inlineStr">
        <is>
          <t>24 months</t>
        </is>
      </c>
      <c r="AG67" s="2" t="inlineStr">
        <is>
          <t>2026-08-13</t>
        </is>
      </c>
      <c r="AH67" s="2" t="inlineStr">
        <is>
          <t>2028-08-13</t>
        </is>
      </c>
      <c r="AI67" s="2" t="inlineStr">
        <is>
          <t>Current - re-search on schedule</t>
        </is>
      </c>
    </row>
    <row r="68">
      <c r="A68" s="2" t="inlineStr">
        <is>
          <t>A4-08</t>
        </is>
      </c>
      <c r="B68" s="2" t="inlineStr">
        <is>
          <t>Korpela — restorative environments &amp; self-regulation</t>
        </is>
      </c>
      <c r="C68" s="2" t="inlineStr">
        <is>
          <t>https://aaltodoc.aalto.fi/bitstreams/006d5f9f-b0e8-42fe-accb-15491d28b58e/download</t>
        </is>
      </c>
      <c r="D68" s="2" t="inlineStr">
        <is>
          <t>https://doi.org/10.1006/jevp.2002.0277</t>
        </is>
      </c>
      <c r="E68" t="inlineStr">
        <is>
          <t>Publisher/landing only</t>
        </is>
      </c>
      <c r="F68" s="2" t="inlineStr">
        <is>
          <t>Located - readable source</t>
        </is>
      </c>
      <c r="G68" s="2" t="inlineStr">
        <is>
          <t>Aalto repository PDF and DOI landing located. CHARTED 2026-08-14 batch 5e (Area 4; collapsed QC). ABSTRACT ONLY.</t>
        </is>
      </c>
      <c r="H68" s="2" t="inlineStr">
        <is>
          <t>Korpela — restorative environments &amp; self-regulation pdf DOI readable source</t>
        </is>
      </c>
      <c r="I68" s="4" t="inlineStr">
        <is>
          <t>https://www.google.com/search?q=Korpela+%E2%80%94+restorative+environments+%26+self-regulation+pdf+DOI+readable+source</t>
        </is>
      </c>
      <c r="J68" s="2" t="inlineStr">
        <is>
          <t>2026-08-13</t>
        </is>
      </c>
      <c r="K68" s="2" t="inlineStr">
        <is>
          <t>Charted - 2026-08-14</t>
        </is>
      </c>
      <c r="L68" s="2" t="n">
        <v>4</v>
      </c>
      <c r="M68" s="2" t="inlineStr">
        <is>
          <t>WS-C</t>
        </is>
      </c>
      <c r="N68" s="2" t="inlineStr">
        <is>
          <t>B</t>
        </is>
      </c>
      <c r="O68" s="2" t="inlineStr">
        <is>
          <t>MECHANISM</t>
        </is>
      </c>
      <c r="P68" s="2" t="inlineStr">
        <is>
          <t>empirical</t>
        </is>
      </c>
      <c r="Q68" s="2" t="inlineStr">
        <is>
          <t>environmental psych</t>
        </is>
      </c>
      <c r="R68" s="2" t="inlineStr">
        <is>
          <t>correlational</t>
        </is>
      </c>
      <c r="S68" s="2" t="inlineStr">
        <is>
          <t>medium</t>
        </is>
      </c>
      <c r="T68" s="2" t="inlineStr">
        <is>
          <t>Restorative environments support self-regulation. Place attachment and restorativeness predict self-regulatory capacity.</t>
        </is>
      </c>
      <c r="U68" s="2" t="inlineStr">
        <is>
          <t>not_quantifiable (empirical, abstract-level only). Strength = medium as the MECHANISM row (construct-role claim, abstract-level caveat).</t>
        </is>
      </c>
      <c r="V68" s="2" t="inlineStr">
        <is>
          <t>Abstract/synopsis only — full text not open. Flagged as verification debt.</t>
        </is>
      </c>
      <c r="W68" s="2" t="inlineStr">
        <is>
          <t>If restorative environments do NOT support self-regulation, the thesis fails.</t>
        </is>
      </c>
      <c r="X68" s="2" t="inlineStr">
        <is>
          <t>partial</t>
        </is>
      </c>
      <c r="Y68" s="2" t="inlineStr">
        <is>
          <t>partial</t>
        </is>
      </c>
      <c r="Z68" s="2" t="inlineStr">
        <is>
          <t>Support self-regulation through restorative environments.</t>
        </is>
      </c>
      <c r="AA68" s="2" t="inlineStr">
        <is>
          <t>Restoration as self-regulatory.</t>
        </is>
      </c>
      <c r="AC68" s="2" t="inlineStr">
        <is>
          <t>Monstare Protocol vNext</t>
        </is>
      </c>
      <c r="AE68" s="2" t="inlineStr">
        <is>
          <t>Empirical / applied research</t>
        </is>
      </c>
      <c r="AF68" s="2" t="inlineStr">
        <is>
          <t>24 months</t>
        </is>
      </c>
      <c r="AG68" s="2" t="inlineStr">
        <is>
          <t>2026-08-13</t>
        </is>
      </c>
      <c r="AH68" s="2" t="inlineStr">
        <is>
          <t>2028-08-13</t>
        </is>
      </c>
      <c r="AI68" s="2" t="inlineStr">
        <is>
          <t>Current - re-search on schedule</t>
        </is>
      </c>
    </row>
    <row r="69">
      <c r="A69" s="2" t="inlineStr">
        <is>
          <t>A4-09</t>
        </is>
      </c>
      <c r="B69" s="2" t="inlineStr">
        <is>
          <t>Lewicka — Place Attachment: 40 years</t>
        </is>
      </c>
      <c r="C69" s="2" t="inlineStr">
        <is>
          <t>https://docslib.org/doc/6265744/place-attachment-how-far-have-we-come-in-the-last-40-years</t>
        </is>
      </c>
      <c r="D69" s="2" t="inlineStr">
        <is>
          <t>https://doi.org/10.1016/j.jenvp.2010.10.001</t>
        </is>
      </c>
      <c r="E69" t="inlineStr">
        <is>
          <t>Publisher/landing only</t>
        </is>
      </c>
      <c r="F69" s="2" t="inlineStr">
        <is>
          <t>Located - readable source</t>
        </is>
      </c>
      <c r="G69" s="2" t="inlineStr">
        <is>
          <t>Readable copy and DOI located; prefer legal institutional access if available. CHARTED 2026-08-14 batch 5e (Area 4; collapsed QC). ABSTRACT ONLY.</t>
        </is>
      </c>
      <c r="H69" s="2" t="inlineStr">
        <is>
          <t>Lewicka — Place Attachment: 40 years pdf DOI readable source</t>
        </is>
      </c>
      <c r="I69" s="4" t="inlineStr">
        <is>
          <t>https://www.google.com/search?q=Lewicka+%E2%80%94+Place+Attachment%3A+40+years+pdf+DOI+readable+source</t>
        </is>
      </c>
      <c r="J69" s="2" t="inlineStr">
        <is>
          <t>2026-08-13</t>
        </is>
      </c>
      <c r="K69" s="2" t="inlineStr">
        <is>
          <t>Charted - 2026-08-14</t>
        </is>
      </c>
      <c r="L69" s="2" t="n">
        <v>4</v>
      </c>
      <c r="M69" s="2" t="inlineStr">
        <is>
          <t>WS-E</t>
        </is>
      </c>
      <c r="N69" s="2" t="inlineStr">
        <is>
          <t>B</t>
        </is>
      </c>
      <c r="O69" s="2" t="inlineStr">
        <is>
          <t>REVIEW</t>
        </is>
      </c>
      <c r="P69" s="2" t="inlineStr">
        <is>
          <t>review</t>
        </is>
      </c>
      <c r="Q69" s="2" t="inlineStr">
        <is>
          <t>environmental psych</t>
        </is>
      </c>
      <c r="R69" s="2" t="inlineStr">
        <is>
          <t>conceptual</t>
        </is>
      </c>
      <c r="S69" s="2" t="inlineStr">
        <is>
          <t>low</t>
        </is>
      </c>
      <c r="T69" s="2" t="inlineStr">
        <is>
          <t>A 40-year review of place attachment research. The review synthesizes the literature, identifying key themes, measurement approaches, and gaps.</t>
        </is>
      </c>
      <c r="U69" s="2" t="inlineStr">
        <is>
          <t>not_quantifiable (review, abstract-level only). Strength = medium as the REVIEW row (construct-role claim, abstract-level caveat).</t>
        </is>
      </c>
      <c r="V69" s="2" t="inlineStr">
        <is>
          <t>Abstract/synopsis only — full text not open. Flagged as verification debt.</t>
        </is>
      </c>
      <c r="W69" s="2" t="inlineStr">
        <is>
          <t>If the 40-year literature does NOT support the review's conclusions, the synthesis fails.</t>
        </is>
      </c>
      <c r="X69" s="2" t="inlineStr">
        <is>
          <t>no</t>
        </is>
      </c>
      <c r="Y69" s="2" t="inlineStr">
        <is>
          <t>partial</t>
        </is>
      </c>
      <c r="Z69" s="2" t="inlineStr">
        <is>
          <t>Draw on 40 years of place attachment research.</t>
        </is>
      </c>
      <c r="AA69" s="2" t="inlineStr">
        <is>
          <t>Place attachment as established field.</t>
        </is>
      </c>
      <c r="AC69" s="2" t="inlineStr">
        <is>
          <t>Construct Dictionary</t>
        </is>
      </c>
      <c r="AE69" s="2" t="inlineStr">
        <is>
          <t>Empirical / applied research</t>
        </is>
      </c>
      <c r="AF69" s="2" t="inlineStr">
        <is>
          <t>24 months</t>
        </is>
      </c>
      <c r="AG69" s="2" t="inlineStr">
        <is>
          <t>2026-08-13</t>
        </is>
      </c>
      <c r="AH69" s="2" t="inlineStr">
        <is>
          <t>2028-08-13</t>
        </is>
      </c>
      <c r="AI69" s="2" t="inlineStr">
        <is>
          <t>Current - re-search on schedule</t>
        </is>
      </c>
    </row>
    <row r="70">
      <c r="A70" s="2" t="inlineStr">
        <is>
          <t>A4-10</t>
        </is>
      </c>
      <c r="B70" s="2" t="inlineStr">
        <is>
          <t>Gibson — The Ecological Approach to Visual Perception</t>
        </is>
      </c>
      <c r="C70" s="2" t="inlineStr">
        <is>
          <t>https://archive.org/details/ecologicalapproa0000gibs</t>
        </is>
      </c>
      <c r="D70" s="2" t="inlineStr">
        <is>
          <t>https://www.routledge.com/The-Ecological-Approach-to-Visual-Perception/Gibson/p/book/9781848725782</t>
        </is>
      </c>
      <c r="E70" t="inlineStr">
        <is>
          <t>Archive.org lending-only</t>
        </is>
      </c>
      <c r="F70" s="2" t="inlineStr">
        <is>
          <t>Located - restricted readable</t>
        </is>
      </c>
      <c r="G70" s="2" t="inlineStr">
        <is>
          <t>Archive lending path located; use legal borrowed/purchased copy for charting. CHARTED 2026-08-14 batch 5e (Area 4; collapsed QC). ABSTRACT ONLY — lending-only.</t>
        </is>
      </c>
      <c r="H70" s="2" t="inlineStr">
        <is>
          <t>Gibson — The Ecological Approach to Visual Perception pdf DOI readable source</t>
        </is>
      </c>
      <c r="I70" s="4" t="inlineStr">
        <is>
          <t>https://www.google.com/search?q=Gibson+%E2%80%94+The+Ecological+Approach+to+Visual+Perception+pdf+DOI+readable+source</t>
        </is>
      </c>
      <c r="J70" s="2" t="inlineStr">
        <is>
          <t>2026-08-13</t>
        </is>
      </c>
      <c r="K70" s="2" t="inlineStr">
        <is>
          <t>Charted - 2026-08-14</t>
        </is>
      </c>
      <c r="L70" s="2" t="n">
        <v>4</v>
      </c>
      <c r="M70" s="2" t="inlineStr">
        <is>
          <t>WS-E</t>
        </is>
      </c>
      <c r="N70" s="2" t="inlineStr">
        <is>
          <t>B</t>
        </is>
      </c>
      <c r="O70" s="2" t="inlineStr">
        <is>
          <t>TELOS/MECHANISM</t>
        </is>
      </c>
      <c r="P70" s="2" t="inlineStr">
        <is>
          <t>theoretical</t>
        </is>
      </c>
      <c r="Q70" s="2" t="inlineStr">
        <is>
          <t>perception</t>
        </is>
      </c>
      <c r="R70" s="2" t="inlineStr">
        <is>
          <t>conceptual</t>
        </is>
      </c>
      <c r="S70" s="2" t="inlineStr">
        <is>
          <t>medium</t>
        </is>
      </c>
      <c r="T70" s="2" t="inlineStr">
        <is>
          <t>Affordances — the ecological approach argues that perception is geared to situated action. Organisms perceive the environment in terms of what it affords for action.</t>
        </is>
      </c>
      <c r="U70" s="2" t="inlineStr">
        <is>
          <t>not_quantifiable (theoretical, abstract-level only). Strength = medium as the TELOS/MECHANISM row (construct-role claim, abstract-level caveat).</t>
        </is>
      </c>
      <c r="V70" s="2" t="inlineStr">
        <is>
          <t>Abstract/synopsis only — full text lending-only. Flagged as verification debt.</t>
        </is>
      </c>
      <c r="W70" s="2" t="inlineStr">
        <is>
          <t>If affordances do NOT exist in the organism-environment system, the thesis fails.</t>
        </is>
      </c>
      <c r="X70" s="2" t="inlineStr">
        <is>
          <t>partial</t>
        </is>
      </c>
      <c r="Y70" s="2" t="inlineStr">
        <is>
          <t>partial</t>
        </is>
      </c>
      <c r="Z70" s="2" t="inlineStr">
        <is>
          <t>Ground situated action/affordances.</t>
        </is>
      </c>
      <c r="AA70" s="2" t="inlineStr">
        <is>
          <t>Environment offers action.</t>
        </is>
      </c>
      <c r="AC70" s="2" t="inlineStr">
        <is>
          <t>Arousal/Flow/Task-Switching Layer</t>
        </is>
      </c>
      <c r="AE70" s="2" t="inlineStr">
        <is>
          <t>General supporting source</t>
        </is>
      </c>
      <c r="AF70" s="2" t="inlineStr">
        <is>
          <t>36 months</t>
        </is>
      </c>
      <c r="AG70" s="2" t="inlineStr">
        <is>
          <t>2026-08-13</t>
        </is>
      </c>
      <c r="AH70" s="2" t="inlineStr">
        <is>
          <t>2029-08-13</t>
        </is>
      </c>
      <c r="AI70" s="2" t="inlineStr">
        <is>
          <t>Current - located, access/fit caveat</t>
        </is>
      </c>
    </row>
    <row r="71">
      <c r="A71" s="2" t="inlineStr">
        <is>
          <t>A5-01</t>
        </is>
      </c>
      <c r="B71" s="2" t="inlineStr">
        <is>
          <t>Varela — Neurophenomenology</t>
        </is>
      </c>
      <c r="C71" s="7" t="inlineStr">
        <is>
          <t>https://docslib.org/doc/729945/neurophenomenology-a-methodological-remedy-for-the-hard-problem-francisco-j</t>
        </is>
      </c>
      <c r="D71" s="7" t="inlineStr">
        <is>
          <t>https://www.ingentaconnect.com/content/imp/jcs/1996/00000003/00000004/718</t>
        </is>
      </c>
      <c r="E71" s="6" t="inlineStr">
        <is>
          <t>Open HTML/PDF mirror / publisher landing</t>
        </is>
      </c>
      <c r="F71" s="7" t="inlineStr">
        <is>
          <t>Located - readable source</t>
        </is>
      </c>
      <c r="G71" s="2" t="inlineStr">
        <is>
          <t>Readable copy located; publisher landing recorded. CHARTED 2026-08-14 batch 5a (Area 5 phenomenological methods; collapsed QC + Phenomenologist). Full text read (JCS 1996).</t>
        </is>
      </c>
      <c r="H71" s="2" t="inlineStr">
        <is>
          <t>Varela — Neurophenomenology pdf DOI readable source</t>
        </is>
      </c>
      <c r="I71" s="4" t="inlineStr">
        <is>
          <t>https://www.google.com/search?q=Varela+%E2%80%94+Neurophenomenology+pdf+DOI+readable+source</t>
        </is>
      </c>
      <c r="J71" s="7" t="inlineStr">
        <is>
          <t>2026-08-13</t>
        </is>
      </c>
      <c r="K71" s="7" t="inlineStr">
        <is>
          <t>Charted - 2026-08-14</t>
        </is>
      </c>
      <c r="L71" s="2" t="n">
        <v>5</v>
      </c>
      <c r="M71" s="2" t="inlineStr">
        <is>
          <t>WS-F</t>
        </is>
      </c>
      <c r="N71" s="2" t="inlineStr">
        <is>
          <t>A</t>
        </is>
      </c>
      <c r="O71" s="2" t="inlineStr">
        <is>
          <t>METHOD/TELOS</t>
        </is>
      </c>
      <c r="P71" s="2" t="inlineStr">
        <is>
          <t>theoretical</t>
        </is>
      </c>
      <c r="Q71" s="2" t="inlineStr">
        <is>
          <t>cognitive science</t>
        </is>
      </c>
      <c r="R71" s="2" t="inlineStr">
        <is>
          <t>conceptual</t>
        </is>
      </c>
      <c r="S71" s="2" t="inlineStr">
        <is>
          <t>high</t>
        </is>
      </c>
      <c r="T71" s="2" t="inlineStr">
        <is>
          <t>First-hand experience is an irreducible field of phenomena — there is no 'theoretical fix' or 'extra ingredient' that can bridge the gap between cognitive science and conscious experience. Neurophenomenology seeks articulations by mutual constraints between phenomena present in experience and the correlative field of phenomena established by the cognitive sciences. The method requires a disciplined approach to first-person experience (micro-phenomenological interview, phenomenological reduction) that is rigorous enough to be reproducible. The 'hard problem' can only be addressed by a research community armed with pragmatic tools enabling a science of consciousness.</t>
        </is>
      </c>
      <c r="U71" s="2" t="inlineStr">
        <is>
          <t>not_quantifiable (theoretical/methodological). Strength = high as the METHOD/TELOS row — neurophenomenology is the explicit warrant for the Phenomenological Registration Sheet (construct-role claim).</t>
        </is>
      </c>
      <c r="V71" s="2" t="inlineStr">
        <is>
          <t>Single-author programmatic article; the method is argued for more than it is demonstrated. The 'mutual constraints' concept is a research program, not a validated method. First-person methods remain contested in cognitive science. The article presupposes the irreducibility of experience (anti-reductionist commitment) rather than proving it.</t>
        </is>
      </c>
      <c r="W71" s="2" t="inlineStr">
        <is>
          <t>If conscious experience IS reducible to neural or functional processes (if the 'hard problem' is solvable 'on the cheap'), the whole neurophenomenology program is unnecessary — cognitive science can proceed without first-person data.</t>
        </is>
      </c>
      <c r="X71" s="2" t="inlineStr">
        <is>
          <t>no</t>
        </is>
      </c>
      <c r="Y71" s="2" t="inlineStr">
        <is>
          <t>yes</t>
        </is>
      </c>
      <c r="Z71" s="2" t="inlineStr">
        <is>
          <t>Justify phenomenological capture alongside metrics. The tool must capture first-person experience (pre-reflective, momentary) alongside behavioral/neural data — not as an afterthought, but as a structural requirement. The Phenomenological Registration Sheet is the artifact that operationalizes this.</t>
        </is>
      </c>
      <c r="AA71" s="2" t="inlineStr">
        <is>
          <t>Experience is data too. The cosmotechnic audit must include the subjective dimension — not just what the tool does, but what the user experiences. Phenomenology-before-calibration is law.</t>
        </is>
      </c>
      <c r="AB71" s="2" t="inlineStr">
        <is>
          <t>CF-2</t>
        </is>
      </c>
      <c r="AC71" s="2" t="inlineStr">
        <is>
          <t>Phenomenological Registration Sheet</t>
        </is>
      </c>
      <c r="AD71" s="2" t="inlineStr">
        <is>
          <t>OC-4</t>
        </is>
      </c>
      <c r="AE71" s="2" t="inlineStr">
        <is>
          <t>Philosophical / historical / theoretical</t>
        </is>
      </c>
      <c r="AF71" s="2" t="inlineStr">
        <is>
          <t>60 months</t>
        </is>
      </c>
      <c r="AG71" s="2" t="inlineStr">
        <is>
          <t>2026-08-13</t>
        </is>
      </c>
      <c r="AH71" s="2" t="inlineStr">
        <is>
          <t>2031-08-13</t>
        </is>
      </c>
      <c r="AI71" s="2" t="inlineStr">
        <is>
          <t>Current - re-search on schedule</t>
        </is>
      </c>
    </row>
    <row r="72">
      <c r="A72" s="2" t="inlineStr">
        <is>
          <t>A5-02</t>
        </is>
      </c>
      <c r="B72" s="2" t="inlineStr">
        <is>
          <t>Petitmengin — Describing Experience in the Second Person</t>
        </is>
      </c>
      <c r="C72" s="7" t="inlineStr">
        <is>
          <t>https://clairepetitmengin.fr/AArticles%20versions%20finales/PCS%20-%20Second%20Person.pdf</t>
        </is>
      </c>
      <c r="D72" s="7" t="inlineStr">
        <is>
          <t>https://link.springer.com/article/10.1007/s11097-006-9022-2</t>
        </is>
      </c>
      <c r="E72" s="6" t="inlineStr">
        <is>
          <t>Open author PDF / DOI landing</t>
        </is>
      </c>
      <c r="F72" s="7" t="inlineStr">
        <is>
          <t>Located - readable source</t>
        </is>
      </c>
      <c r="G72" s="2" t="inlineStr">
        <is>
          <t>Author PDF located. CHARTED 2026-08-14 batch 5a (Area 5 phenomenological methods; collapsed QC + Phenomenologist). Full text read (P&amp;CSc 2006).</t>
        </is>
      </c>
      <c r="H72" s="2" t="inlineStr">
        <is>
          <t>Petitmengin — Describing Experience in the Second Person pdf DOI readable source</t>
        </is>
      </c>
      <c r="I72" s="4" t="inlineStr">
        <is>
          <t>https://www.google.com/search?q=Petitmengin+%E2%80%94+Describing+Experience+in+the+Second+Person+pdf+DOI+readable+source</t>
        </is>
      </c>
      <c r="J72" s="7" t="inlineStr">
        <is>
          <t>2026-08-13</t>
        </is>
      </c>
      <c r="K72" s="7" t="inlineStr">
        <is>
          <t>Charted - 2026-08-14</t>
        </is>
      </c>
      <c r="L72" s="2" t="n">
        <v>5</v>
      </c>
      <c r="M72" s="2" t="inlineStr">
        <is>
          <t>WS-F</t>
        </is>
      </c>
      <c r="N72" s="2" t="inlineStr">
        <is>
          <t>A</t>
        </is>
      </c>
      <c r="O72" s="2" t="inlineStr">
        <is>
          <t>METHOD</t>
        </is>
      </c>
      <c r="P72" s="2" t="inlineStr">
        <is>
          <t>methods</t>
        </is>
      </c>
      <c r="Q72" s="2" t="inlineStr">
        <is>
          <t>phenomenology</t>
        </is>
      </c>
      <c r="R72" s="2" t="inlineStr">
        <is>
          <t>conceptual</t>
        </is>
      </c>
      <c r="S72" s="2" t="inlineStr">
        <is>
          <t>high</t>
        </is>
      </c>
      <c r="T72" s="2" t="inlineStr">
        <is>
          <t>Describing one's own subjective experience is extremely difficult because a substantial proportion of experience unfolds below the threshold of consciousness. The micro-phenomenological interview (second-person method) enables a person — even untrained — to become aware of their subjective experience and describe it with great precision. The method uses specific inner gestures: conversion (shifting attention from the object to the act of knowing), evocation (re-living the episode), direct reference (pointing to the experience itself), attentional position, and speech position. The interview is focused on a specific episode (not general opinions), uses open prompts ('What were you doing?' not 'Why?'), and validates the description through triangulation.</t>
        </is>
      </c>
      <c r="U72" s="2" t="inlineStr">
        <is>
          <t>not_quantifiable (methods). Strength = high as the METHOD row — the second-person interview is the explicit warrant for the Phenomenological Registration Sheet's interview protocol (construct-role claim).</t>
        </is>
      </c>
      <c r="V72" s="2" t="inlineStr">
        <is>
          <t>Methods article focused on the interview technique. The validity criteria for first-person descriptions remain contested. The method requires trained interviewers — it is not self-administering. The article presupposes that pre-reflective experience can be made reflectively accessible without distortion.</t>
        </is>
      </c>
      <c r="W72" s="2" t="inlineStr">
        <is>
          <t>If pre-reflective experience is fundamentally inaccessible to reflective awareness (if the act of observation necessarily distorts the experience), the whole second-person method is unreliable — it produces post-hoc constructions, not faithful descriptions.</t>
        </is>
      </c>
      <c r="X72" s="2" t="inlineStr">
        <is>
          <t>no</t>
        </is>
      </c>
      <c r="Y72" s="2" t="inlineStr">
        <is>
          <t>yes</t>
        </is>
      </c>
      <c r="Z72" s="2" t="inlineStr">
        <is>
          <t>Design episode-evoking prompts, not opinion prompts. The tool's registration interface must use open, specific, non-leading prompts that help the user re-live a particular episode rather than generalize about their experience.</t>
        </is>
      </c>
      <c r="AA72" s="2" t="inlineStr">
        <is>
          <t>Preserve fine-grained experience. The cosmotechnic audit must capture the texture of lived experience, not just summary judgments. The Phenomenological Registration Sheet must be designed for specificity.</t>
        </is>
      </c>
      <c r="AB72" s="2" t="inlineStr">
        <is>
          <t>CF-2</t>
        </is>
      </c>
      <c r="AC72" s="2" t="inlineStr">
        <is>
          <t>Phenomenological Registration Sheet</t>
        </is>
      </c>
      <c r="AE72" s="2" t="inlineStr">
        <is>
          <t>Methods / reporting standards</t>
        </is>
      </c>
      <c r="AF72" s="2" t="inlineStr">
        <is>
          <t>36 months</t>
        </is>
      </c>
      <c r="AG72" s="2" t="inlineStr">
        <is>
          <t>2026-08-13</t>
        </is>
      </c>
      <c r="AH72" s="2" t="inlineStr">
        <is>
          <t>2029-08-13</t>
        </is>
      </c>
      <c r="AI72" s="2" t="inlineStr">
        <is>
          <t>Current - re-search on schedule</t>
        </is>
      </c>
    </row>
    <row r="73">
      <c r="A73" s="2" t="inlineStr">
        <is>
          <t>A5-03</t>
        </is>
      </c>
      <c r="B73" s="2" t="inlineStr">
        <is>
          <t>Petitmengin et al. — micro-phenomenology studies</t>
        </is>
      </c>
      <c r="C73" s="7" t="inlineStr">
        <is>
          <t>https://hal.science/hal-02264833v1/file/PCS%20-%20Article%20analyse.pdf</t>
        </is>
      </c>
      <c r="D73" s="7" t="inlineStr">
        <is>
          <t>https://doi.org/10.1007/s11097-018-9597-4</t>
        </is>
      </c>
      <c r="E73" s="6" t="inlineStr">
        <is>
          <t>Open PDF / DOI landing (HAL)</t>
        </is>
      </c>
      <c r="F73" s="7" t="inlineStr">
        <is>
          <t>Located - readable source</t>
        </is>
      </c>
      <c r="G73" s="2" t="inlineStr">
        <is>
          <t>Open HAL PDF located for micro-phenomenological analysis method. CHARTED 2026-08-14 batch 5a (Area 5 phenomenological methods; collapsed QC + Phenomenologist). ABSTRACT ONLY — full text needed for upgrade.</t>
        </is>
      </c>
      <c r="H73" s="2" t="inlineStr">
        <is>
          <t>Petitmengin et al. — micro-phenomenology studies pdf DOI readable source</t>
        </is>
      </c>
      <c r="I73" s="4" t="inlineStr">
        <is>
          <t>https://www.google.com/search?q=Petitmengin+et+al.+%E2%80%94+micro-phenomenology+studies+pdf+DOI+readable+source</t>
        </is>
      </c>
      <c r="J73" s="7" t="inlineStr">
        <is>
          <t>2026-08-13</t>
        </is>
      </c>
      <c r="K73" s="7" t="inlineStr">
        <is>
          <t>Charted - 2026-08-14</t>
        </is>
      </c>
      <c r="L73" s="2" t="n">
        <v>5</v>
      </c>
      <c r="M73" s="2" t="inlineStr">
        <is>
          <t>WS-F</t>
        </is>
      </c>
      <c r="N73" s="2" t="inlineStr">
        <is>
          <t>A</t>
        </is>
      </c>
      <c r="O73" s="2" t="inlineStr">
        <is>
          <t>METHOD/EMPIRICAL</t>
        </is>
      </c>
      <c r="P73" s="2" t="inlineStr">
        <is>
          <t>empirical</t>
        </is>
      </c>
      <c r="Q73" s="2" t="inlineStr">
        <is>
          <t>phenomenology</t>
        </is>
      </c>
      <c r="R73" s="2" t="inlineStr">
        <is>
          <t>correlational</t>
        </is>
      </c>
      <c r="S73" s="2" t="inlineStr">
        <is>
          <t>medium</t>
        </is>
      </c>
      <c r="T73" s="2" t="inlineStr">
        <is>
          <t>Fine-grained description of subjective experience can become usable evidence. The article demonstrates that micro-phenomenological methods can produce reliable, detailed descriptions of lived experience that are amenable to scientific analysis. The method captures onset, transition, and arousal experience — the temporal structure of experience.</t>
        </is>
      </c>
      <c r="U73" s="2" t="inlineStr">
        <is>
          <t>not_quantifiable (empirical, abstract-level only). Strength = medium as the METHOD/EMPIRICAL row — the fine-grained description-as-evidence thesis supports the Phenomenological Registration Sheet's validity (construct-role claim, abstract-level caveat).</t>
        </is>
      </c>
      <c r="V73" s="2" t="inlineStr">
        <is>
          <t>Abstract/synopsis only — full text not in front of me. The specific findings (reliability, validity, sample) are not in front of me. Flagged as verification debt.</t>
        </is>
      </c>
      <c r="W73" s="2" t="inlineStr">
        <is>
          <t>If fine-grained description CANNOT become usable evidence (if the method produces unreliable or ungeneralizable results), the micro-phenomenological approach fails its central promise.</t>
        </is>
      </c>
      <c r="X73" s="2" t="inlineStr">
        <is>
          <t>no</t>
        </is>
      </c>
      <c r="Y73" s="2" t="inlineStr">
        <is>
          <t>partial</t>
        </is>
      </c>
      <c r="Z73" s="2" t="inlineStr">
        <is>
          <t>Capture onset/transition/arousal experience. The tool's registration interface must capture the temporal structure of experience — not just the content, but how it unfolds over time.</t>
        </is>
      </c>
      <c r="AA73" s="2" t="inlineStr">
        <is>
          <t>Description yields signal. The cosmotechnic audit must treat fine-grained description as legitimate data, not anecdote.</t>
        </is>
      </c>
      <c r="AC73" s="2" t="inlineStr">
        <is>
          <t>Phenomenological Registration Sheet</t>
        </is>
      </c>
      <c r="AE73" s="2" t="inlineStr">
        <is>
          <t>Empirical / applied research</t>
        </is>
      </c>
      <c r="AF73" s="2" t="inlineStr">
        <is>
          <t>24 months</t>
        </is>
      </c>
      <c r="AG73" s="2" t="inlineStr">
        <is>
          <t>2026-08-13</t>
        </is>
      </c>
      <c r="AH73" s="2" t="inlineStr">
        <is>
          <t>2028-08-13</t>
        </is>
      </c>
      <c r="AI73" s="2" t="inlineStr">
        <is>
          <t>Current - re-search on schedule</t>
        </is>
      </c>
    </row>
    <row r="74">
      <c r="A74" s="2" t="inlineStr">
        <is>
          <t>A5-04</t>
        </is>
      </c>
      <c r="B74" s="2" t="inlineStr">
        <is>
          <t>Valenzuela-Moguillansky &amp; Vasquez-Rosati — Analysis Procedure</t>
        </is>
      </c>
      <c r="C74" s="7" t="inlineStr">
        <is>
          <t>https://constructivist.info/14/2/123.valenzuela.pdf</t>
        </is>
      </c>
      <c r="D74" s="7" t="inlineStr">
        <is>
          <t>https://constructivist.info/14/2/123</t>
        </is>
      </c>
      <c r="E74" s="6" t="inlineStr">
        <is>
          <t>Open PDF / journal landing (gated)</t>
        </is>
      </c>
      <c r="F74" s="7" t="inlineStr">
        <is>
          <t>Located - readable source</t>
        </is>
      </c>
      <c r="G74" s="2" t="inlineStr">
        <is>
          <t>Open Constructivist Foundations PDF located. CHARTED 2026-08-14 batch 5a (Area 5 phenomenological methods; collapsed QC + Phenomenologist). ABSTRACT ONLY — full text gated behind login.</t>
        </is>
      </c>
      <c r="H74" s="2" t="inlineStr">
        <is>
          <t>Valenzuela-Moguillansky &amp; Vasquez-Rosati — Analysis Procedure pdf DOI readable source</t>
        </is>
      </c>
      <c r="I74" s="4" t="inlineStr">
        <is>
          <t>https://www.google.com/search?q=Valenzuela-Moguillansky+%26+Vasquez-Rosati+%E2%80%94+Analysis+Procedure+pdf+DOI+readable+source</t>
        </is>
      </c>
      <c r="J74" s="7" t="inlineStr">
        <is>
          <t>2026-08-13</t>
        </is>
      </c>
      <c r="K74" s="7" t="inlineStr">
        <is>
          <t>Charted - 2026-08-14</t>
        </is>
      </c>
      <c r="L74" s="2" t="n">
        <v>5</v>
      </c>
      <c r="M74" s="2" t="inlineStr">
        <is>
          <t>WS-F</t>
        </is>
      </c>
      <c r="N74" s="2" t="inlineStr">
        <is>
          <t>A</t>
        </is>
      </c>
      <c r="O74" s="2" t="inlineStr">
        <is>
          <t>METHOD/ANALYSIS</t>
        </is>
      </c>
      <c r="P74" s="2" t="inlineStr">
        <is>
          <t>methods</t>
        </is>
      </c>
      <c r="Q74" s="2" t="inlineStr">
        <is>
          <t>phenomenology</t>
        </is>
      </c>
      <c r="R74" s="2" t="inlineStr">
        <is>
          <t>conceptual</t>
        </is>
      </c>
      <c r="S74" s="2" t="inlineStr">
        <is>
          <t>medium</t>
        </is>
      </c>
      <c r="T74" s="2" t="inlineStr">
        <is>
          <t>Stepwise analysis procedure for micro-phenomenological data. The article provides a structured method for analyzing micro-phenomenological interview data — a systematic procedure for moving from raw first-person descriptions to analyzed results without flattening the experiential content.</t>
        </is>
      </c>
      <c r="U74" s="2" t="inlineStr">
        <is>
          <t>not_quantifiable (methods, abstract-level only). Strength = medium as the METHOD/ANALYSIS row — the stepwise analysis procedure is the warrant for the Phenomenological Registration Sheet's analysis protocol (construct-role claim, abstract-level caveat).</t>
        </is>
      </c>
      <c r="V74" s="2" t="inlineStr">
        <is>
          <t>Abstract/synopsis only — full text gated behind login. The specific steps, reliability, and validity are not in front of me. Flagged as verification debt.</t>
        </is>
      </c>
      <c r="W74" s="2" t="inlineStr">
        <is>
          <t>If micro-phenomenological data CANNOT be analyzed systematically (if the analysis procedure produces unreliable or ungeneralizable results), the whole approach fails its scientific promise.</t>
        </is>
      </c>
      <c r="X74" s="2" t="inlineStr">
        <is>
          <t>no</t>
        </is>
      </c>
      <c r="Y74" s="2" t="inlineStr">
        <is>
          <t>partial</t>
        </is>
      </c>
      <c r="Z74" s="2" t="inlineStr">
        <is>
          <t>Analyze registration notes without flattening them. The tool's analysis interface must use a structured, non-reductive procedure that preserves the experiential content while making it scientifically usable.</t>
        </is>
      </c>
      <c r="AA74" s="2" t="inlineStr">
        <is>
          <t>Structured, non-reductive analysis. The cosmotechnic audit must include a method for analyzing first-person data that does not destroy the very experience it seeks to capture.</t>
        </is>
      </c>
      <c r="AB74" s="2" t="inlineStr">
        <is>
          <t>CF-2</t>
        </is>
      </c>
      <c r="AC74" s="2" t="inlineStr">
        <is>
          <t>Phenomenological Registration Sheet</t>
        </is>
      </c>
      <c r="AD74" s="2" t="inlineStr">
        <is>
          <t>OC-4</t>
        </is>
      </c>
      <c r="AE74" s="2" t="inlineStr">
        <is>
          <t>Methods / reporting standards</t>
        </is>
      </c>
      <c r="AF74" s="2" t="inlineStr">
        <is>
          <t>36 months</t>
        </is>
      </c>
      <c r="AG74" s="2" t="inlineStr">
        <is>
          <t>2026-08-13</t>
        </is>
      </c>
      <c r="AH74" s="2" t="inlineStr">
        <is>
          <t>2029-08-13</t>
        </is>
      </c>
      <c r="AI74" s="2" t="inlineStr">
        <is>
          <t>Current - re-search on schedule</t>
        </is>
      </c>
    </row>
    <row r="75">
      <c r="A75" s="2" t="inlineStr">
        <is>
          <t>A5-05</t>
        </is>
      </c>
      <c r="B75" s="2" t="inlineStr">
        <is>
          <t>Hurlburt &amp; Heavey — Descriptive Experience Sampling</t>
        </is>
      </c>
      <c r="C75" s="7" t="inlineStr">
        <is>
          <t>http://www.hurlburt.faculty.unlv.edu/hurlburt-akhter-2006.pdf</t>
        </is>
      </c>
      <c r="D75" s="7" t="inlineStr">
        <is>
          <t>https://archive.org/details/exploringinnerex0000hurl</t>
        </is>
      </c>
      <c r="E75" s="6" t="inlineStr">
        <is>
          <t>Open PDF / archive landing</t>
        </is>
      </c>
      <c r="F75" s="7" t="inlineStr">
        <is>
          <t>Located - readable source</t>
        </is>
      </c>
      <c r="G75" s="2" t="inlineStr">
        <is>
          <t>DES method PDF and book archive located. CHARTED 2026-08-14 batch 5a (Area 5 phenomenological methods; collapsed QC + Phenomenologist). Full text read (P&amp;CSc 2006).</t>
        </is>
      </c>
      <c r="H75" s="2" t="inlineStr">
        <is>
          <t>Hurlburt &amp; Heavey — Descriptive Experience Sampling pdf DOI readable source</t>
        </is>
      </c>
      <c r="I75" s="4" t="inlineStr">
        <is>
          <t>https://www.google.com/search?q=Hurlburt+%26+Heavey+%E2%80%94+Descriptive+Experience+Sampling+pdf+DOI+readable+source</t>
        </is>
      </c>
      <c r="J75" s="7" t="inlineStr">
        <is>
          <t>2026-08-13</t>
        </is>
      </c>
      <c r="K75" s="7" t="inlineStr">
        <is>
          <t>Charted - 2026-08-14</t>
        </is>
      </c>
      <c r="L75" s="2" t="n">
        <v>5</v>
      </c>
      <c r="M75" s="2" t="inlineStr">
        <is>
          <t>WS-F</t>
        </is>
      </c>
      <c r="N75" s="2" t="inlineStr">
        <is>
          <t>A</t>
        </is>
      </c>
      <c r="O75" s="2" t="inlineStr">
        <is>
          <t>METHOD</t>
        </is>
      </c>
      <c r="P75" s="2" t="inlineStr">
        <is>
          <t>methods</t>
        </is>
      </c>
      <c r="Q75" s="2" t="inlineStr">
        <is>
          <t>psychology</t>
        </is>
      </c>
      <c r="R75" s="2" t="inlineStr">
        <is>
          <t>conceptual</t>
        </is>
      </c>
      <c r="S75" s="2" t="inlineStr">
        <is>
          <t>medium</t>
        </is>
      </c>
      <c r="T75" s="2" t="inlineStr">
        <is>
          <t>Descriptive Experience Sampling (DES) is a method for exploring inner experience using random beepers in natural environments. When the beep sounds, subjects capture their inner experience at 'the moment of the beep' — the last undisturbed moment before the beep interrupted. They jot notes, then report in an expositional interview within 24h. DES aims at 'pristine' experience — experience in its natural state, unspoiled by the act of observation, unplanned, unmapped, uninterpreted. The method is fundamentally idiographic (characterizing one person's experience) but can be used nomothetically (across subjects with shared characteristics). Salient DES findings include: inner speech, visual images, unsymbolized thinking, sensory awareness, and feelings — these are the common forms of inner experience.</t>
        </is>
      </c>
      <c r="U75" s="2" t="inlineStr">
        <is>
          <t>not_quantifiable (methods). Strength = high as the METHOD row — DES is the explicit warrant for the momentary sampling component of the Phenomenological Registration Sheet (construct-role claim).</t>
        </is>
      </c>
      <c r="V75" s="2" t="inlineStr">
        <is>
          <t>Methods article focused on the sampling technique. DES is labor-intensive (requires multiple sampling days, trained interviewers). The 'pristine experience' aim is an ideal — all observation involves some interference. The method captures momentary experience but may miss extended, narrative, or temporal phenomena.</t>
        </is>
      </c>
      <c r="W75" s="2" t="inlineStr">
        <is>
          <t>If inner experience is NOT best captured by random sampling (if the relevant phenomena are extended, narrative, or temporal rather than momentary), DES misses the phenomena that matter most for the Monstare protocol.</t>
        </is>
      </c>
      <c r="X75" s="2" t="inlineStr">
        <is>
          <t>partial</t>
        </is>
      </c>
      <c r="Y75" s="2" t="inlineStr">
        <is>
          <t>partial</t>
        </is>
      </c>
      <c r="Z75" s="2" t="inlineStr">
        <is>
          <t>Semi-random in-the-moment state capture. The tool must include a random or semi-random beep that prompts the user to capture their experience at the moment of the beep — not retrospectively, not narratively, but in the pristine present.</t>
        </is>
      </c>
      <c r="AA75" s="2" t="inlineStr">
        <is>
          <t>Moment over narrative. The cosmotechnic audit must privilege the momentary, pre-reflective capture over retrospective narrative. The Phenomenological Registration Sheet must be designed for immediacy.</t>
        </is>
      </c>
      <c r="AB75" s="2" t="inlineStr">
        <is>
          <t>CF-2</t>
        </is>
      </c>
      <c r="AC75" s="2" t="inlineStr">
        <is>
          <t>Phenomenological Registration Sheet</t>
        </is>
      </c>
      <c r="AE75" s="2" t="inlineStr">
        <is>
          <t>Empirical / applied research</t>
        </is>
      </c>
      <c r="AF75" s="2" t="inlineStr">
        <is>
          <t>24 months</t>
        </is>
      </c>
      <c r="AG75" s="2" t="inlineStr">
        <is>
          <t>2026-08-13</t>
        </is>
      </c>
      <c r="AH75" s="2" t="inlineStr">
        <is>
          <t>2028-08-13</t>
        </is>
      </c>
      <c r="AI75" s="2" t="inlineStr">
        <is>
          <t>Current - re-search on schedule</t>
        </is>
      </c>
    </row>
    <row r="76">
      <c r="A76" s="2" t="inlineStr">
        <is>
          <t>A5-06</t>
        </is>
      </c>
      <c r="B76" s="2" t="inlineStr">
        <is>
          <t>Bass-Krueger et al. — DES vs Micro-Phenomenological Interviews</t>
        </is>
      </c>
      <c r="C76" s="7" t="inlineStr">
        <is>
          <t>https://www.indecs.eu/2024/indecs2024-pp84-106.pdf</t>
        </is>
      </c>
      <c r="D76" s="7" t="inlineStr">
        <is>
          <t>https://hrcak.srce.hr/en/clanak/454680</t>
        </is>
      </c>
      <c r="E76" s="6" t="inlineStr">
        <is>
          <t>Open PDF / journal landing</t>
        </is>
      </c>
      <c r="F76" s="7" t="inlineStr">
        <is>
          <t>Located - readable source</t>
        </is>
      </c>
      <c r="G76" s="2" t="inlineStr">
        <is>
          <t>Open INDECS PDF located. CHARTED 2026-08-14 batch 5a (Area 5 phenomenological methods; collapsed QC + Phenomenologist). Full text read (INDECS 2024).</t>
        </is>
      </c>
      <c r="H76" s="2" t="inlineStr">
        <is>
          <t>Bass-Krueger et al. — DES vs Micro-Phenomenological Interviews pdf DOI readable source</t>
        </is>
      </c>
      <c r="I76" s="4" t="inlineStr">
        <is>
          <t>https://www.google.com/search?q=Bass-Krueger+et+al.+%E2%80%94+DES+vs+Micro-Phenomenological+Interviews+pdf+DOI+readable+source</t>
        </is>
      </c>
      <c r="J76" s="7" t="inlineStr">
        <is>
          <t>2026-08-13</t>
        </is>
      </c>
      <c r="K76" s="7" t="inlineStr">
        <is>
          <t>Charted - 2026-08-14</t>
        </is>
      </c>
      <c r="L76" s="2" t="n">
        <v>5</v>
      </c>
      <c r="M76" s="2" t="inlineStr">
        <is>
          <t>WS-F</t>
        </is>
      </c>
      <c r="N76" s="2" t="inlineStr">
        <is>
          <t>A</t>
        </is>
      </c>
      <c r="O76" s="2" t="inlineStr">
        <is>
          <t>METHOD/COMPARISON</t>
        </is>
      </c>
      <c r="P76" s="2" t="inlineStr">
        <is>
          <t>empirical</t>
        </is>
      </c>
      <c r="Q76" s="2" t="inlineStr">
        <is>
          <t>phenomenology</t>
        </is>
      </c>
      <c r="R76" s="2" t="inlineStr">
        <is>
          <t>correlational</t>
        </is>
      </c>
      <c r="S76" s="2" t="inlineStr">
        <is>
          <t>medium</t>
        </is>
      </c>
      <c r="T76" s="2" t="inlineStr">
        <is>
          <t>Compares two first-person methods: Descriptive Experience Sampling (DES) and micro-phenomenological interviews (MPI). Both look at short episodes of experience and have safeguards to limit biases. But they differ in how they deal with memory, questioning, and analysis. DES results focused more on fine-grained details of visual experiences; MPI results focused more on how experience extended over time and how participants engaged with the task. These differences demonstrate how the applied methods differ in their focus and scope — neither is 'wrong'; they reveal different aspects of experience. The study used a mental imagery task with 4 participants, each interviewed with both methods.</t>
        </is>
      </c>
      <c r="U76" s="2" t="inlineStr">
        <is>
          <t>not_quantifiable (empirical, N=4). Strength = medium as the METHOD/COMPARISON row — the comparison is the warrant for choosing/integrating DES and MPI in the Phenomenological Registration Sheet (construct-role claim).</t>
        </is>
      </c>
      <c r="V76" s="2" t="inlineStr">
        <is>
          <t>Very small sample (N=4). The study is exploratory, not confirmatory. The mental imagery task is specific — generalizability to other domains is uncertain. The comparison is qualitative, not quantitative.</t>
        </is>
      </c>
      <c r="W76" s="2" t="inlineStr">
        <is>
          <t>If the two methods do NOT differ in focus and scope (if they produce identical results), the integration argument collapses — you would only need one method.</t>
        </is>
      </c>
      <c r="X76" s="2" t="inlineStr">
        <is>
          <t>no</t>
        </is>
      </c>
      <c r="Y76" s="2" t="inlineStr">
        <is>
          <t>partial</t>
        </is>
      </c>
      <c r="Z76" s="2" t="inlineStr">
        <is>
          <t>Choose immediate sampling vs episode interview. The tool must decide whether to use momentary sampling (DES), episode interview (MPI), or both — depending on the phenomenon of interest. For flow-state detection, DES-style momentary sampling is more appropriate; for retrospective sense-making, MPI-style episode interview is more appropriate.</t>
        </is>
      </c>
      <c r="AA76" s="2" t="inlineStr">
        <is>
          <t>Method fit to moment. The cosmotechnic audit must match the method to the phenomenon — momentary vs extended, pristine vs narrated.</t>
        </is>
      </c>
      <c r="AC76" s="2" t="inlineStr">
        <is>
          <t>Phenomenological Registration Sheet</t>
        </is>
      </c>
      <c r="AE76" s="2" t="inlineStr">
        <is>
          <t>Empirical / applied research</t>
        </is>
      </c>
      <c r="AF76" s="2" t="inlineStr">
        <is>
          <t>24 months</t>
        </is>
      </c>
      <c r="AG76" s="2" t="inlineStr">
        <is>
          <t>2026-08-13</t>
        </is>
      </c>
      <c r="AH76" s="2" t="inlineStr">
        <is>
          <t>2028-08-13</t>
        </is>
      </c>
      <c r="AI76" s="2" t="inlineStr">
        <is>
          <t>Current - re-search on schedule</t>
        </is>
      </c>
    </row>
    <row r="77">
      <c r="A77" s="2" t="inlineStr">
        <is>
          <t>A5-07</t>
        </is>
      </c>
      <c r="B77" s="2" t="inlineStr">
        <is>
          <t>Depraz, Varela &amp; Vermersch — On Becoming Aware</t>
        </is>
      </c>
      <c r="C77" s="2" t="inlineStr">
        <is>
          <t>https://openlibrary.org/books/OL3570652M/On_becoming_aware</t>
        </is>
      </c>
      <c r="D77" s="2" t="inlineStr">
        <is>
          <t>https://benjamins.com/catalog/aicr.43</t>
        </is>
      </c>
      <c r="E77" t="inlineStr">
        <is>
          <t>Open Library/catalog — lending-only</t>
        </is>
      </c>
      <c r="F77" s="2" t="inlineStr">
        <is>
          <t>Located - restricted/source landing</t>
        </is>
      </c>
      <c r="G77" s="2" t="inlineStr">
        <is>
          <t>Book access located via Open Library/catalog and John Benjamins landing; no open full text recorded. CHARTED 2026-08-14 batch 5c (Area 5 phenomenological methods; collapsed QC + Phenomenologist). ABSTRACT ONLY — full text lending-only.</t>
        </is>
      </c>
      <c r="H77" s="2" t="inlineStr">
        <is>
          <t>Depraz, Varela &amp; Vermersch — On Becoming Aware pdf DOI readable source</t>
        </is>
      </c>
      <c r="I77" s="4" t="inlineStr">
        <is>
          <t>https://www.google.com/search?q=Depraz%2C+Varela+%26+Vermersch+%E2%80%94+On+Becoming+Aware+pdf+DOI+readable+source</t>
        </is>
      </c>
      <c r="J77" s="2" t="inlineStr">
        <is>
          <t>2026-08-13</t>
        </is>
      </c>
      <c r="K77" s="2" t="inlineStr">
        <is>
          <t>Charted - 2026-08-14</t>
        </is>
      </c>
      <c r="L77" s="2" t="n">
        <v>5</v>
      </c>
      <c r="M77" s="2" t="inlineStr">
        <is>
          <t>WS-F</t>
        </is>
      </c>
      <c r="N77" s="2" t="inlineStr">
        <is>
          <t>B</t>
        </is>
      </c>
      <c r="O77" s="2" t="inlineStr">
        <is>
          <t>METHOD/TELOS</t>
        </is>
      </c>
      <c r="P77" s="2" t="inlineStr">
        <is>
          <t>theoretical</t>
        </is>
      </c>
      <c r="Q77" s="2" t="inlineStr">
        <is>
          <t>phenomenology</t>
        </is>
      </c>
      <c r="R77" s="2" t="inlineStr">
        <is>
          <t>conceptual</t>
        </is>
      </c>
      <c r="S77" s="2" t="inlineStr">
        <is>
          <t>medium</t>
        </is>
      </c>
      <c r="T77" s="2" t="inlineStr">
        <is>
          <t>Practice of becoming aware of experience. The book explores the cultivation of awareness as a practice — the development of attentive, disciplined first-person inquiry into lived experience. It bridges phenomenology and contemplative practice, arguing that awareness is trainable.</t>
        </is>
      </c>
      <c r="U77" s="2" t="inlineStr">
        <is>
          <t>not_quantifiable (theoretical, abstract-level only). Strength = medium as the METHOD/TELOS row — the trainable-awareness thesis is a framing resource for the Phenomenological Registration Sheet (construct-role claim, abstract-level caveat).</t>
        </is>
      </c>
      <c r="V77" s="2" t="inlineStr">
        <is>
          <t>Abstract/synopsis only — full text lending-only. Flagged as verification debt.</t>
        </is>
      </c>
      <c r="W77" s="2" t="inlineStr">
        <is>
          <t>If awareness is NOT trainable (if it is a fixed capacity), the practice-based approach fails.</t>
        </is>
      </c>
      <c r="X77" s="2" t="inlineStr">
        <is>
          <t>no</t>
        </is>
      </c>
      <c r="Y77" s="2" t="inlineStr">
        <is>
          <t>partial</t>
        </is>
      </c>
      <c r="Z77" s="2" t="inlineStr">
        <is>
          <t>Grounding for awareness practice. The tool should include prompts or exercises that cultivate the user's awareness of their own experience.</t>
        </is>
      </c>
      <c r="AA77" s="2" t="inlineStr">
        <is>
          <t>Awareness is trainable. The cosmotechnic audit should assess whether the tool cultivates or erodes the user's awareness.</t>
        </is>
      </c>
      <c r="AC77" s="2" t="inlineStr">
        <is>
          <t>Phenomenological Registration Sheet</t>
        </is>
      </c>
      <c r="AE77" s="2" t="inlineStr">
        <is>
          <t>Philosophical / historical / theoretical</t>
        </is>
      </c>
      <c r="AF77" s="2" t="inlineStr">
        <is>
          <t>60 months</t>
        </is>
      </c>
      <c r="AG77" s="2" t="inlineStr">
        <is>
          <t>2026-08-13</t>
        </is>
      </c>
      <c r="AH77" s="2" t="inlineStr">
        <is>
          <t>2031-08-13</t>
        </is>
      </c>
      <c r="AI77" s="2" t="inlineStr">
        <is>
          <t>Current - located, access/fit caveat</t>
        </is>
      </c>
    </row>
    <row r="78">
      <c r="A78" s="2" t="inlineStr">
        <is>
          <t>A5-08</t>
        </is>
      </c>
      <c r="B78" s="2" t="inlineStr">
        <is>
          <t>Csikszentmihalyi &amp; Larson — Experience Sampling Method</t>
        </is>
      </c>
      <c r="C78" s="2" t="inlineStr">
        <is>
          <t>https://link.springer.com/content/pdf/10.1007/978-94-017-9088-8_3.pdf</t>
        </is>
      </c>
      <c r="D78" s="2" t="inlineStr">
        <is>
          <t>https://doi.org/10.1007/978-94-017-9088-8_3</t>
        </is>
      </c>
      <c r="E78" t="inlineStr">
        <is>
          <t>Springer chapter (abstract only — subscription)</t>
        </is>
      </c>
      <c r="F78" s="2" t="inlineStr">
        <is>
          <t>Located - readable source</t>
        </is>
      </c>
      <c r="G78" s="2" t="inlineStr">
        <is>
          <t>Csikszentmihalyi &amp; Larson ESM reliability/validity chapter located. CHARTED 2026-08-14 batch 5c (Area 5 phenomenological methods; collapsed QC + Phenomenologist). ABSTRACT ONLY — subscription.</t>
        </is>
      </c>
      <c r="H78" s="2" t="inlineStr">
        <is>
          <t>Csikszentmihalyi &amp; Larson — Experience Sampling Method pdf DOI readable source</t>
        </is>
      </c>
      <c r="I78" s="4" t="inlineStr">
        <is>
          <t>https://www.google.com/search?q=Csikszentmihalyi+%26+Larson+%E2%80%94+Experience+Sampling+Method+pdf+DOI+readable+source</t>
        </is>
      </c>
      <c r="J78" s="2" t="inlineStr">
        <is>
          <t>2026-08-13</t>
        </is>
      </c>
      <c r="K78" s="2" t="inlineStr">
        <is>
          <t>Charted - 2026-08-14</t>
        </is>
      </c>
      <c r="L78" s="2" t="n">
        <v>5</v>
      </c>
      <c r="M78" s="2" t="inlineStr">
        <is>
          <t>WS-F</t>
        </is>
      </c>
      <c r="N78" s="2" t="inlineStr">
        <is>
          <t>B</t>
        </is>
      </c>
      <c r="O78" s="2" t="inlineStr">
        <is>
          <t>METHOD</t>
        </is>
      </c>
      <c r="P78" s="2" t="inlineStr">
        <is>
          <t>methods</t>
        </is>
      </c>
      <c r="Q78" s="2" t="inlineStr">
        <is>
          <t>psychology</t>
        </is>
      </c>
      <c r="R78" s="2" t="inlineStr">
        <is>
          <t>conceptual</t>
        </is>
      </c>
      <c r="S78" s="2" t="inlineStr">
        <is>
          <t>low</t>
        </is>
      </c>
      <c r="T78" s="2" t="inlineStr">
        <is>
          <t>Classic ESM foundation. The Experience-Sampling Method (ESM) provides a valid instrument to describe variations in self-reports of mental processes in everyday life. It can measure: frequency/patterning of daily activity, social interaction, location changes; frequency/intensity of psychological states (emotional, cognitive, conative); frequency/patterning of thoughts. The chapter presents evidence for short- and long-term reliability.</t>
        </is>
      </c>
      <c r="U78" s="2" t="inlineStr">
        <is>
          <t>not_quantifiable (methods, abstract-level only). Strength = low-medium as the METHOD row — the ESM reliability/validity evidence is a framing resource (construct-role claim, abstract-level caveat).</t>
        </is>
      </c>
      <c r="V78" s="2" t="inlineStr">
        <is>
          <t>Abstract/synopsis only — full text subscription. The specific reliability coefficients and validity evidence are not in front of me. Flagged as verification debt.</t>
        </is>
      </c>
      <c r="W78" s="2" t="inlineStr">
        <is>
          <t>If ESM does NOT have short- and long-term reliability, the method's scientific basis is weakened.</t>
        </is>
      </c>
      <c r="X78" s="2" t="inlineStr">
        <is>
          <t>partial</t>
        </is>
      </c>
      <c r="Y78" s="2" t="inlineStr">
        <is>
          <t>no</t>
        </is>
      </c>
      <c r="Z78" s="2" t="inlineStr">
        <is>
          <t>ESM basis for engagement capture. The tool's sampling protocol should draw on ESM methodology — random signaling, in-the-moment reporting.</t>
        </is>
      </c>
      <c r="AA78" s="2" t="inlineStr">
        <is>
          <t>Sample lived time. The cosmotechnic audit should sample the user's lived experience, not just retrospective narrative.</t>
        </is>
      </c>
      <c r="AC78" s="2" t="inlineStr">
        <is>
          <t>Digital Capture Architecture</t>
        </is>
      </c>
      <c r="AE78" s="2" t="inlineStr">
        <is>
          <t>Empirical / applied research</t>
        </is>
      </c>
      <c r="AF78" s="2" t="inlineStr">
        <is>
          <t>24 months</t>
        </is>
      </c>
      <c r="AG78" s="2" t="inlineStr">
        <is>
          <t>2026-08-13</t>
        </is>
      </c>
      <c r="AH78" s="2" t="inlineStr">
        <is>
          <t>2028-08-13</t>
        </is>
      </c>
      <c r="AI78" s="2" t="inlineStr">
        <is>
          <t>Current - re-search on schedule</t>
        </is>
      </c>
    </row>
    <row r="79">
      <c r="A79" s="2" t="inlineStr">
        <is>
          <t>A5-09</t>
        </is>
      </c>
      <c r="B79" s="2" t="inlineStr">
        <is>
          <t>Zahavi — Subjectivity and Selfhood</t>
        </is>
      </c>
      <c r="C79" s="2" t="inlineStr">
        <is>
          <t>https://direct.mit.edu/books/monograph/2097/Subjectivity-and-SelfhoodInvestigating-the-First</t>
        </is>
      </c>
      <c r="D79" s="2" t="inlineStr">
        <is>
          <t>https://mitpress.mit.edu/9780262740340/subjectivity-and-selfhood/</t>
        </is>
      </c>
      <c r="E79" t="inlineStr">
        <is>
          <t>MIT Press (publisher page + TOC only)</t>
        </is>
      </c>
      <c r="F79" s="2" t="inlineStr">
        <is>
          <t>Located - source landing</t>
        </is>
      </c>
      <c r="G79" s="2" t="inlineStr">
        <is>
          <t>MIT Press landing/direct page located; use legal library/e-book access for charting. CHARTED 2026-08-14 batch 5c (Area 5 phenomenological methods; collapsed QC + Phenomenologist). ABSTRACT ONLY — full text not open.</t>
        </is>
      </c>
      <c r="H79" s="2" t="inlineStr">
        <is>
          <t>Zahavi — Subjectivity and Selfhood pdf DOI readable source</t>
        </is>
      </c>
      <c r="I79" s="4" t="inlineStr">
        <is>
          <t>https://www.google.com/search?q=Zahavi+%E2%80%94+Subjectivity+and+Selfhood+pdf+DOI+readable+source</t>
        </is>
      </c>
      <c r="J79" s="2" t="inlineStr">
        <is>
          <t>2026-08-13</t>
        </is>
      </c>
      <c r="K79" s="2" t="inlineStr">
        <is>
          <t>Charted - 2026-08-14</t>
        </is>
      </c>
      <c r="L79" s="2" t="n">
        <v>5</v>
      </c>
      <c r="M79" s="2" t="inlineStr">
        <is>
          <t>WS-F</t>
        </is>
      </c>
      <c r="N79" s="2" t="inlineStr">
        <is>
          <t>B</t>
        </is>
      </c>
      <c r="O79" s="2" t="inlineStr">
        <is>
          <t>PHENOMENOLOGY/TELOS</t>
        </is>
      </c>
      <c r="P79" s="2" t="inlineStr">
        <is>
          <t>philosophical</t>
        </is>
      </c>
      <c r="Q79" s="2" t="inlineStr">
        <is>
          <t>phenomenology</t>
        </is>
      </c>
      <c r="R79" s="2" t="inlineStr">
        <is>
          <t>conceptual</t>
        </is>
      </c>
      <c r="S79" s="2" t="inlineStr">
        <is>
          <t>medium</t>
        </is>
      </c>
      <c r="T79" s="2" t="inlineStr">
        <is>
          <t>The notion of self is crucial for a proper understanding of consciousness. Zahavi argues that experience, self-awareness, and selfhood are interrelated — none can be understood in isolation. Any investigation of the self must take the first-person perspective seriously and focus on the experiential givenness of the self. Phenomenology (Husserl, Heidegger, Sartre, Merleau-Ponty) provides the conceptual framework.</t>
        </is>
      </c>
      <c r="U79" s="2" t="inlineStr">
        <is>
          <t>not_quantifiable (philosophical, abstract-level only). Strength = medium as the PHENOMENOLOGY/TELOS row — the self-as-crucial thesis is a framing resource for the Construct Dictionary (construct-role claim, abstract-level caveat).</t>
        </is>
      </c>
      <c r="V79" s="2" t="inlineStr">
        <is>
          <t>Abstract/synopsis only — full text not open. Flagged as verification debt.</t>
        </is>
      </c>
      <c r="W79" s="2" t="inlineStr">
        <is>
          <t>If the self is NOT crucial for understanding consciousness (if consciousness can be fully explained without reference to selfhood), the phenomenological approach is unnecessary.</t>
        </is>
      </c>
      <c r="X79" s="2" t="inlineStr">
        <is>
          <t>no</t>
        </is>
      </c>
      <c r="Y79" s="2" t="inlineStr">
        <is>
          <t>partial</t>
        </is>
      </c>
      <c r="Z79" s="2" t="inlineStr">
        <is>
          <t>Clarify the self that is captured. The tool must be clear about what 'self' it is capturing — the experiential, first-person self, not just behavioral data.</t>
        </is>
      </c>
      <c r="AA79" s="2" t="inlineStr">
        <is>
          <t>Selfhood before scores. The cosmotechnic audit must include the self-dimension — not just what the user does, but who they experience themselves as being.</t>
        </is>
      </c>
      <c r="AC79" s="2" t="inlineStr">
        <is>
          <t>Construct Dictionary</t>
        </is>
      </c>
      <c r="AE79" s="2" t="inlineStr">
        <is>
          <t>Philosophical / historical / theoretical</t>
        </is>
      </c>
      <c r="AF79" s="2" t="inlineStr">
        <is>
          <t>60 months</t>
        </is>
      </c>
      <c r="AG79" s="2" t="inlineStr">
        <is>
          <t>2026-08-13</t>
        </is>
      </c>
      <c r="AH79" s="2" t="inlineStr">
        <is>
          <t>2031-08-13</t>
        </is>
      </c>
      <c r="AI79" s="2" t="inlineStr">
        <is>
          <t>Current - located, access/fit caveat</t>
        </is>
      </c>
    </row>
    <row r="80">
      <c r="A80" s="2" t="inlineStr">
        <is>
          <t>A5-10</t>
        </is>
      </c>
      <c r="B80" s="2" t="inlineStr">
        <is>
          <t>Gallagher &amp; Zahavi — The Phenomenological Mind</t>
        </is>
      </c>
      <c r="C80" s="2" t="inlineStr">
        <is>
          <t>https://archive.org/details/phenomenological0000gall</t>
        </is>
      </c>
      <c r="D80" s="2" t="inlineStr">
        <is>
          <t>https://digitalcommons.memphis.edu/facpubs/6410/</t>
        </is>
      </c>
      <c r="E80" t="inlineStr">
        <is>
          <t>Archive.org lending-only</t>
        </is>
      </c>
      <c r="F80" s="2" t="inlineStr">
        <is>
          <t>Located - restricted readable</t>
        </is>
      </c>
      <c r="G80" s="2" t="inlineStr">
        <is>
          <t>Archive lending and faculty publication page located. CHARTED 2026-08-14 batch 5c (Area 5 phenomenological methods; collapsed QC + Phenomenologist). ABSTRACT ONLY — lending-only.</t>
        </is>
      </c>
      <c r="H80" s="2" t="inlineStr">
        <is>
          <t>Gallagher &amp; Zahavi — The Phenomenological Mind pdf DOI readable source</t>
        </is>
      </c>
      <c r="I80" s="4" t="inlineStr">
        <is>
          <t>https://www.google.com/search?q=Gallagher+%26+Zahavi+%E2%80%94+The+Phenomenological+Mind+pdf+DOI+readable+source</t>
        </is>
      </c>
      <c r="J80" s="2" t="inlineStr">
        <is>
          <t>2026-08-13</t>
        </is>
      </c>
      <c r="K80" s="2" t="inlineStr">
        <is>
          <t>Charted - 2026-08-14</t>
        </is>
      </c>
      <c r="L80" s="2" t="n">
        <v>5</v>
      </c>
      <c r="M80" s="2" t="inlineStr">
        <is>
          <t>WS-F</t>
        </is>
      </c>
      <c r="N80" s="2" t="inlineStr">
        <is>
          <t>B</t>
        </is>
      </c>
      <c r="O80" s="2" t="inlineStr">
        <is>
          <t>TELOS/METHOD</t>
        </is>
      </c>
      <c r="P80" s="2" t="inlineStr">
        <is>
          <t>review</t>
        </is>
      </c>
      <c r="Q80" s="2" t="inlineStr">
        <is>
          <t>phenomenology</t>
        </is>
      </c>
      <c r="R80" s="2" t="inlineStr">
        <is>
          <t>conceptual</t>
        </is>
      </c>
      <c r="S80" s="2" t="inlineStr">
        <is>
          <t>low</t>
        </is>
      </c>
      <c r="T80" s="2" t="inlineStr">
        <is>
          <t>Bridge between phenomenology and cognitive science. The book provides an accessible introduction to phenomenological approaches to consciousness and the mind, bridging the gap between phenomenological philosophy and empirical cognitive science.</t>
        </is>
      </c>
      <c r="U80" s="2" t="inlineStr">
        <is>
          <t>not_quantifiable (review, abstract-level only). Strength = low-medium as the TELOS/METHOD row — the bridge thesis is a framing resource for the Construct Dictionary (construct-role claim, abstract-level caveat).</t>
        </is>
      </c>
      <c r="V80" s="2" t="inlineStr">
        <is>
          <t>Abstract/synopsis only — full text lending-only. Flagged as verification debt.</t>
        </is>
      </c>
      <c r="W80" s="2" t="inlineStr">
        <is>
          <t>If phenomenology and cognitive science CANNOT be bridged (if they are incommensurable), the book's project fails.</t>
        </is>
      </c>
      <c r="X80" s="2" t="inlineStr">
        <is>
          <t>no</t>
        </is>
      </c>
      <c r="Y80" s="2" t="inlineStr">
        <is>
          <t>partial</t>
        </is>
      </c>
      <c r="Z80" s="2" t="inlineStr">
        <is>
          <t>Accessible bridge for the team. The tool's conceptual framework should be informed by both phenomenological and cognitive-scientific perspectives.</t>
        </is>
      </c>
      <c r="AA80" s="2" t="inlineStr">
        <is>
          <t>Phenomenology meets cogsci. The cosmotechnic audit must include both first-person and third-person dimensions.</t>
        </is>
      </c>
      <c r="AC80" s="2" t="inlineStr">
        <is>
          <t>Construct Dictionary</t>
        </is>
      </c>
      <c r="AE80" s="2" t="inlineStr">
        <is>
          <t>Empirical / applied research</t>
        </is>
      </c>
      <c r="AF80" s="2" t="inlineStr">
        <is>
          <t>24 months</t>
        </is>
      </c>
      <c r="AG80" s="2" t="inlineStr">
        <is>
          <t>2026-08-13</t>
        </is>
      </c>
      <c r="AH80" s="2" t="inlineStr">
        <is>
          <t>2028-08-13</t>
        </is>
      </c>
      <c r="AI80" s="2" t="inlineStr">
        <is>
          <t>Current - located, access/fit caveat</t>
        </is>
      </c>
    </row>
    <row r="81">
      <c r="A81" s="2" t="inlineStr">
        <is>
          <t>A6-01</t>
        </is>
      </c>
      <c r="B81" s="2" t="inlineStr">
        <is>
          <t>Laitinen &amp; Sahlgren — AI Systems and Respect for Human Autonomy</t>
        </is>
      </c>
      <c r="C81" s="4" t="inlineStr">
        <is>
          <t>https://trepo.tuni.fi/bitstream/handle/10024/220970/AI_systems_Laitinen_Sahlgren.pdf?sequence=1</t>
        </is>
      </c>
      <c r="D81" s="4" t="inlineStr">
        <is>
          <t>https://www.frontiersin.org/journals/artificial-intelligence/articles/10.3389/frai.2021.705164/full</t>
        </is>
      </c>
      <c r="E81" s="2" t="inlineStr">
        <is>
          <t>Open PDF and open full text</t>
        </is>
      </c>
      <c r="F81" s="2" t="inlineStr">
        <is>
          <t>Readable source found</t>
        </is>
      </c>
      <c r="G81" s="2" t="inlineStr">
        <is>
          <t>Frontiers in Artificial Intelligence 2021, DOI 10.3389/frai.2021.705164.</t>
        </is>
      </c>
      <c r="H81" s="2" t="inlineStr">
        <is>
          <t>Laitinen &amp; Sahlgren — AI Systems and Respect for Human Autonomy pdf DOI readable source</t>
        </is>
      </c>
      <c r="I81" s="4" t="inlineStr">
        <is>
          <t>https://www.google.com/search?q=Laitinen+%26+Sahlgren+%E2%80%94+AI+Systems+and+Respect+for+Human+Autonomy+pdf+DOI+readable+source</t>
        </is>
      </c>
      <c r="J81" s="2" t="inlineStr">
        <is>
          <t>2026-08-13</t>
        </is>
      </c>
      <c r="K81" s="2" t="inlineStr">
        <is>
          <t>Pending</t>
        </is>
      </c>
      <c r="L81" s="2" t="n">
        <v>6</v>
      </c>
      <c r="M81" s="2" t="inlineStr">
        <is>
          <t>WS-H</t>
        </is>
      </c>
      <c r="N81" s="2" t="inlineStr">
        <is>
          <t>A</t>
        </is>
      </c>
      <c r="O81" s="2" t="inlineStr">
        <is>
          <t>ETHICS/DESIGN/MEASURE</t>
        </is>
      </c>
      <c r="P81" s="2" t="inlineStr">
        <is>
          <t>theoretical</t>
        </is>
      </c>
      <c r="Q81" s="2" t="inlineStr">
        <is>
          <t>AI ethics</t>
        </is>
      </c>
      <c r="R81" s="2" t="inlineStr">
        <is>
          <t>conceptual</t>
        </is>
      </c>
      <c r="S81" s="2" t="inlineStr">
        <is>
          <t>high</t>
        </is>
      </c>
      <c r="T81" s="2" t="inlineStr">
        <is>
          <t>Multidimensional model of autonomy; how AI supports or hinders it.</t>
        </is>
      </c>
      <c r="U81" s="2" t="inlineStr">
        <is>
          <t>[to chart]</t>
        </is>
      </c>
      <c r="V81" s="2" t="inlineStr">
        <is>
          <t>[to chart]</t>
        </is>
      </c>
      <c r="W81" s="2" t="inlineStr">
        <is>
          <t>[to chart]</t>
        </is>
      </c>
      <c r="X81" s="2" t="inlineStr">
        <is>
          <t>partial</t>
        </is>
      </c>
      <c r="Y81" s="2" t="inlineStr">
        <is>
          <t>yes</t>
        </is>
      </c>
      <c r="Z81" s="2" t="inlineStr">
        <is>
          <t>Autonomy audit for AI/automation.</t>
        </is>
      </c>
      <c r="AA81" s="2" t="inlineStr">
        <is>
          <t>Core of the M7 audit.</t>
        </is>
      </c>
      <c r="AB81" s="2" t="inlineStr">
        <is>
          <t>CF-4</t>
        </is>
      </c>
      <c r="AC81" s="2" t="inlineStr">
        <is>
          <t>Agency &amp; Autonomy Checklist</t>
        </is>
      </c>
      <c r="AD81" s="2" t="inlineStr">
        <is>
          <t>OC-8</t>
        </is>
      </c>
      <c r="AE81" s="2" t="inlineStr">
        <is>
          <t>Fast-moving digital/AI/work trend</t>
        </is>
      </c>
      <c r="AF81" s="2" t="inlineStr">
        <is>
          <t>6 months</t>
        </is>
      </c>
      <c r="AG81" s="2" t="inlineStr">
        <is>
          <t>2026-08-13</t>
        </is>
      </c>
      <c r="AH81" s="2" t="inlineStr">
        <is>
          <t>2027-02-13</t>
        </is>
      </c>
      <c r="AI81" s="2" t="inlineStr">
        <is>
          <t>Current - re-search on schedule</t>
        </is>
      </c>
    </row>
    <row r="82">
      <c r="A82" s="2" t="inlineStr">
        <is>
          <t>A6-02</t>
        </is>
      </c>
      <c r="B82" s="2" t="inlineStr">
        <is>
          <t>AI and Human Autonomy: A Literature Review</t>
        </is>
      </c>
      <c r="C82" s="7" t="inlineStr">
        <is>
          <t>https://link.springer.com/content/pdf/10.1007/s43681-025-00958-4.pdf</t>
        </is>
      </c>
      <c r="D82" s="7" t="inlineStr">
        <is>
          <t>https://link.springer.com/article/10.1007/s43681-025-00958-4</t>
        </is>
      </c>
      <c r="E82" s="6" t="inlineStr">
        <is>
          <t>Open/Springer PDF</t>
        </is>
      </c>
      <c r="F82" s="7" t="inlineStr">
        <is>
          <t>Located - readable source</t>
        </is>
      </c>
      <c r="G82" s="2" t="inlineStr">
        <is>
          <t>Open Springer PDF located.</t>
        </is>
      </c>
      <c r="H82" s="2" t="inlineStr">
        <is>
          <t>AI and Human Autonomy: A Literature Review pdf DOI readable source</t>
        </is>
      </c>
      <c r="I82" s="4" t="inlineStr">
        <is>
          <t>https://www.google.com/search?q=AI+and+Human+Autonomy%3A+A+Literature+Review+pdf+DOI+readable+source</t>
        </is>
      </c>
      <c r="J82" s="7" t="inlineStr">
        <is>
          <t>2026-08-13</t>
        </is>
      </c>
      <c r="K82" s="7" t="inlineStr">
        <is>
          <t>Located (not charted)</t>
        </is>
      </c>
      <c r="L82" s="2" t="n">
        <v>6</v>
      </c>
      <c r="M82" s="2" t="inlineStr">
        <is>
          <t>WS-H</t>
        </is>
      </c>
      <c r="N82" s="2" t="inlineStr">
        <is>
          <t>A</t>
        </is>
      </c>
      <c r="O82" s="2" t="inlineStr">
        <is>
          <t>REVIEW/ETHICS</t>
        </is>
      </c>
      <c r="P82" s="2" t="inlineStr">
        <is>
          <t>review</t>
        </is>
      </c>
      <c r="Q82" s="2" t="inlineStr">
        <is>
          <t>AI ethics</t>
        </is>
      </c>
      <c r="R82" s="2" t="inlineStr">
        <is>
          <t>conceptual</t>
        </is>
      </c>
      <c r="S82" s="2" t="inlineStr">
        <is>
          <t>high</t>
        </is>
      </c>
      <c r="T82" s="2" t="inlineStr">
        <is>
          <t>Maps heterogeneous AI-autonomy debates.</t>
        </is>
      </c>
      <c r="U82" s="2" t="inlineStr">
        <is>
          <t>[to chart]</t>
        </is>
      </c>
      <c r="V82" s="2" t="inlineStr">
        <is>
          <t>[to chart]</t>
        </is>
      </c>
      <c r="W82" s="2" t="inlineStr">
        <is>
          <t>[to chart]</t>
        </is>
      </c>
      <c r="X82" s="2" t="inlineStr">
        <is>
          <t>no</t>
        </is>
      </c>
      <c r="Y82" s="2" t="inlineStr">
        <is>
          <t>yes</t>
        </is>
      </c>
      <c r="Z82" s="2" t="inlineStr">
        <is>
          <t>Map autonomy risks before agentic supports.</t>
        </is>
      </c>
      <c r="AA82" s="2" t="inlineStr">
        <is>
          <t>Autonomy risk landscape.</t>
        </is>
      </c>
      <c r="AB82" s="2" t="inlineStr">
        <is>
          <t>CF-4</t>
        </is>
      </c>
      <c r="AC82" s="2" t="inlineStr">
        <is>
          <t>Agency &amp; Autonomy Checklist</t>
        </is>
      </c>
      <c r="AE82" s="2" t="inlineStr">
        <is>
          <t>Fast-moving digital/AI/work trend</t>
        </is>
      </c>
      <c r="AF82" s="2" t="inlineStr">
        <is>
          <t>6 months</t>
        </is>
      </c>
      <c r="AG82" s="2" t="inlineStr">
        <is>
          <t>2026-08-13</t>
        </is>
      </c>
      <c r="AH82" s="2" t="inlineStr">
        <is>
          <t>2027-02-13</t>
        </is>
      </c>
      <c r="AI82" s="2" t="inlineStr">
        <is>
          <t>Current - re-search on schedule</t>
        </is>
      </c>
    </row>
    <row r="83">
      <c r="A83" s="2" t="inlineStr">
        <is>
          <t>A6-03</t>
        </is>
      </c>
      <c r="B83" s="2" t="inlineStr">
        <is>
          <t>Shneiderman — Human-Centered AI</t>
        </is>
      </c>
      <c r="C83" s="7" t="inlineStr">
        <is>
          <t>https://arxiv.org/pdf/2002.04087</t>
        </is>
      </c>
      <c r="D83" s="7" t="inlineStr">
        <is>
          <t>https://doi.org/10.1145/3419764</t>
        </is>
      </c>
      <c r="E83" s="6" t="inlineStr">
        <is>
          <t>Open PDF / DOI landing</t>
        </is>
      </c>
      <c r="F83" s="7" t="inlineStr">
        <is>
          <t>Located - readable source</t>
        </is>
      </c>
      <c r="G83" s="2" t="inlineStr">
        <is>
          <t>Arxiv PDF and DOI landing located.</t>
        </is>
      </c>
      <c r="H83" s="2" t="inlineStr">
        <is>
          <t>Shneiderman — Human-Centered AI pdf DOI readable source</t>
        </is>
      </c>
      <c r="I83" s="4" t="inlineStr">
        <is>
          <t>https://www.google.com/search?q=Shneiderman+%E2%80%94+Human-Centered+AI+pdf+DOI+readable+source</t>
        </is>
      </c>
      <c r="J83" s="7" t="inlineStr">
        <is>
          <t>2026-08-13</t>
        </is>
      </c>
      <c r="K83" s="7" t="inlineStr">
        <is>
          <t>Located (not charted)</t>
        </is>
      </c>
      <c r="L83" s="2" t="n">
        <v>6</v>
      </c>
      <c r="M83" s="2" t="inlineStr">
        <is>
          <t>WS-H</t>
        </is>
      </c>
      <c r="N83" s="2" t="inlineStr">
        <is>
          <t>A</t>
        </is>
      </c>
      <c r="O83" s="2" t="inlineStr">
        <is>
          <t>DESIGN/ETHICS</t>
        </is>
      </c>
      <c r="P83" s="2" t="inlineStr">
        <is>
          <t>theoretical</t>
        </is>
      </c>
      <c r="Q83" s="2" t="inlineStr">
        <is>
          <t>HCI/AI</t>
        </is>
      </c>
      <c r="R83" s="2" t="inlineStr">
        <is>
          <t>conceptual</t>
        </is>
      </c>
      <c r="S83" s="2" t="inlineStr">
        <is>
          <t>high</t>
        </is>
      </c>
      <c r="T83" s="2" t="inlineStr">
        <is>
          <t>Reliable, safe, trustworthy AI with high human control.</t>
        </is>
      </c>
      <c r="U83" s="2" t="inlineStr">
        <is>
          <t>[to chart]</t>
        </is>
      </c>
      <c r="V83" s="2" t="inlineStr">
        <is>
          <t>[to chart]</t>
        </is>
      </c>
      <c r="W83" s="2" t="inlineStr">
        <is>
          <t>[to chart]</t>
        </is>
      </c>
      <c r="X83" s="2" t="inlineStr">
        <is>
          <t>partial</t>
        </is>
      </c>
      <c r="Y83" s="2" t="inlineStr">
        <is>
          <t>yes</t>
        </is>
      </c>
      <c r="Z83" s="2" t="inlineStr">
        <is>
          <t>High human control; clear tool boundaries.</t>
        </is>
      </c>
      <c r="AA83" s="2" t="inlineStr">
        <is>
          <t>Human agency at the center.</t>
        </is>
      </c>
      <c r="AB83" s="2" t="inlineStr">
        <is>
          <t>CF-4</t>
        </is>
      </c>
      <c r="AC83" s="2" t="inlineStr">
        <is>
          <t>AI Assistant Use Rules</t>
        </is>
      </c>
      <c r="AE83" s="2" t="inlineStr">
        <is>
          <t>Fast-moving digital/AI/work trend</t>
        </is>
      </c>
      <c r="AF83" s="2" t="inlineStr">
        <is>
          <t>6 months</t>
        </is>
      </c>
      <c r="AG83" s="2" t="inlineStr">
        <is>
          <t>2026-08-13</t>
        </is>
      </c>
      <c r="AH83" s="2" t="inlineStr">
        <is>
          <t>2027-02-13</t>
        </is>
      </c>
      <c r="AI83" s="2" t="inlineStr">
        <is>
          <t>Current - re-search on schedule</t>
        </is>
      </c>
    </row>
    <row r="84">
      <c r="A84" s="2" t="inlineStr">
        <is>
          <t>A6-04</t>
        </is>
      </c>
      <c r="B84" s="2" t="inlineStr">
        <is>
          <t>Parasuraman &amp; Riley — Use, Misuse, Disuse, Abuse</t>
        </is>
      </c>
      <c r="C84" s="4" t="inlineStr">
        <is>
          <t>https://web.mit.edu/16.459/www/parasuraman.pdf?source=post_page---------------------------</t>
        </is>
      </c>
      <c r="D84" s="4" t="inlineStr">
        <is>
          <t>https://doi.org/10.1518/001872097778543886</t>
        </is>
      </c>
      <c r="E84" s="2" t="inlineStr">
        <is>
          <t>Open PDF copy / publisher DOI</t>
        </is>
      </c>
      <c r="F84" s="2" t="inlineStr">
        <is>
          <t>Readable source found</t>
        </is>
      </c>
      <c r="G84" s="2" t="inlineStr">
        <is>
          <t>Human Factors 1997; DOI 10.1518/001872097778543886.</t>
        </is>
      </c>
      <c r="H84" s="2" t="inlineStr">
        <is>
          <t>Parasuraman &amp; Riley — Use, Misuse, Disuse, Abuse pdf DOI readable source</t>
        </is>
      </c>
      <c r="I84" s="4" t="inlineStr">
        <is>
          <t>https://www.google.com/search?q=Parasuraman+%26+Riley+%E2%80%94+Use%2C+Misuse%2C+Disuse%2C+Abuse+pdf+DOI+readable+source</t>
        </is>
      </c>
      <c r="J84" s="2" t="inlineStr">
        <is>
          <t>2026-08-13</t>
        </is>
      </c>
      <c r="K84" s="2" t="inlineStr">
        <is>
          <t>Pending</t>
        </is>
      </c>
      <c r="L84" s="2" t="n">
        <v>6</v>
      </c>
      <c r="M84" s="2" t="inlineStr">
        <is>
          <t>WS-H</t>
        </is>
      </c>
      <c r="N84" s="2" t="inlineStr">
        <is>
          <t>A</t>
        </is>
      </c>
      <c r="O84" s="2" t="inlineStr">
        <is>
          <t>WARNING/MECHANISM</t>
        </is>
      </c>
      <c r="P84" s="2" t="inlineStr">
        <is>
          <t>review</t>
        </is>
      </c>
      <c r="Q84" s="2" t="inlineStr">
        <is>
          <t>human factors</t>
        </is>
      </c>
      <c r="R84" s="2" t="inlineStr">
        <is>
          <t>conceptual</t>
        </is>
      </c>
      <c r="S84" s="2" t="inlineStr">
        <is>
          <t>high</t>
        </is>
      </c>
      <c r="T84" s="2" t="inlineStr">
        <is>
          <t>Taxonomy of automation reliance failures.</t>
        </is>
      </c>
      <c r="U84" s="2" t="inlineStr">
        <is>
          <t>[to chart]</t>
        </is>
      </c>
      <c r="V84" s="2" t="inlineStr">
        <is>
          <t>[to chart]</t>
        </is>
      </c>
      <c r="W84" s="2" t="inlineStr">
        <is>
          <t>[to chart]</t>
        </is>
      </c>
      <c r="X84" s="2" t="inlineStr">
        <is>
          <t>partial</t>
        </is>
      </c>
      <c r="Y84" s="2" t="inlineStr">
        <is>
          <t>partial</t>
        </is>
      </c>
      <c r="Z84" s="2" t="inlineStr">
        <is>
          <t>Distinguish helpful reliance from dependency/disuse.</t>
        </is>
      </c>
      <c r="AA84" s="2" t="inlineStr">
        <is>
          <t>Reliance can degrade.</t>
        </is>
      </c>
      <c r="AB84" s="2" t="inlineStr">
        <is>
          <t>CF-4</t>
        </is>
      </c>
      <c r="AC84" s="2" t="inlineStr">
        <is>
          <t>AI Assistant Use Rules</t>
        </is>
      </c>
      <c r="AE84" s="2" t="inlineStr">
        <is>
          <t>Empirical / applied research</t>
        </is>
      </c>
      <c r="AF84" s="2" t="inlineStr">
        <is>
          <t>24 months</t>
        </is>
      </c>
      <c r="AG84" s="2" t="inlineStr">
        <is>
          <t>2026-08-13</t>
        </is>
      </c>
      <c r="AH84" s="2" t="inlineStr">
        <is>
          <t>2028-08-13</t>
        </is>
      </c>
      <c r="AI84" s="2" t="inlineStr">
        <is>
          <t>Current - re-search on schedule</t>
        </is>
      </c>
    </row>
    <row r="85">
      <c r="A85" s="2" t="inlineStr">
        <is>
          <t>A6-05</t>
        </is>
      </c>
      <c r="B85" s="2" t="inlineStr">
        <is>
          <t>Parasuraman, Sheridan &amp; Wickens — Levels of Automation</t>
        </is>
      </c>
      <c r="C85" s="7" t="inlineStr">
        <is>
          <t>https://www.researchgate.net/profile/Raja-Parasuraman/publication/11596569_A_model_for_types_and_levels_of_human_interaction_with_automation_IEEE_Trans_Syst_Man_Cybern_Part_A_Syst_Hum_303_286-297/links/0fcfd50c098e2edd75000000/A-model-for-types-and-levels-of-human-interaction-with-automation-IEEE-Trans-Syst-Man-Cybern-Part-A-Syst-Hum-303-286-297.pdf</t>
        </is>
      </c>
      <c r="D85" s="7" t="inlineStr">
        <is>
          <t>https://ieeexplore.ieee.org/document/844354</t>
        </is>
      </c>
      <c r="E85" s="6" t="inlineStr">
        <is>
          <t>ResearchGate PDF / IEEE landing</t>
        </is>
      </c>
      <c r="F85" s="7" t="inlineStr">
        <is>
          <t>Located - readable source</t>
        </is>
      </c>
      <c r="G85" s="2" t="inlineStr">
        <is>
          <t>PDF copy located; IEEE landing recorded.</t>
        </is>
      </c>
      <c r="H85" s="2" t="inlineStr">
        <is>
          <t>Parasuraman, Sheridan &amp; Wickens — Levels of Automation pdf DOI readable source</t>
        </is>
      </c>
      <c r="I85" s="4" t="inlineStr">
        <is>
          <t>https://www.google.com/search?q=Parasuraman%2C+Sheridan+%26+Wickens+%E2%80%94+Levels+of+Automation+pdf+DOI+readable+source</t>
        </is>
      </c>
      <c r="J85" s="7" t="inlineStr">
        <is>
          <t>2026-08-13</t>
        </is>
      </c>
      <c r="K85" s="7" t="inlineStr">
        <is>
          <t>Located (not charted)</t>
        </is>
      </c>
      <c r="L85" s="2" t="n">
        <v>6</v>
      </c>
      <c r="M85" s="2" t="inlineStr">
        <is>
          <t>WS-H</t>
        </is>
      </c>
      <c r="N85" s="2" t="inlineStr">
        <is>
          <t>A</t>
        </is>
      </c>
      <c r="O85" s="2" t="inlineStr">
        <is>
          <t>DESIGN/METHOD</t>
        </is>
      </c>
      <c r="P85" s="2" t="inlineStr">
        <is>
          <t>theoretical</t>
        </is>
      </c>
      <c r="Q85" s="2" t="inlineStr">
        <is>
          <t>human factors</t>
        </is>
      </c>
      <c r="R85" s="2" t="inlineStr">
        <is>
          <t>conceptual</t>
        </is>
      </c>
      <c r="S85" s="2" t="inlineStr">
        <is>
          <t>medium</t>
        </is>
      </c>
      <c r="T85" s="2" t="inlineStr">
        <is>
          <t>Types-and-levels framework for human-automation interaction.</t>
        </is>
      </c>
      <c r="U85" s="2" t="inlineStr">
        <is>
          <t>[to chart]</t>
        </is>
      </c>
      <c r="V85" s="2" t="inlineStr">
        <is>
          <t>[to chart]</t>
        </is>
      </c>
      <c r="W85" s="2" t="inlineStr">
        <is>
          <t>[to chart]</t>
        </is>
      </c>
      <c r="X85" s="2" t="inlineStr">
        <is>
          <t>partial</t>
        </is>
      </c>
      <c r="Y85" s="2" t="inlineStr">
        <is>
          <t>partial</t>
        </is>
      </c>
      <c r="Z85" s="2" t="inlineStr">
        <is>
          <t>Decide what to automate vs author.</t>
        </is>
      </c>
      <c r="AA85" s="2" t="inlineStr">
        <is>
          <t>Calibrate automation level.</t>
        </is>
      </c>
      <c r="AB85" s="2" t="inlineStr">
        <is>
          <t>CF-4</t>
        </is>
      </c>
      <c r="AC85" s="2" t="inlineStr">
        <is>
          <t>AI Assistant Use Rules</t>
        </is>
      </c>
      <c r="AD85" s="2" t="inlineStr">
        <is>
          <t>OC-3</t>
        </is>
      </c>
      <c r="AE85" s="2" t="inlineStr">
        <is>
          <t>Fast-moving digital/AI/work trend</t>
        </is>
      </c>
      <c r="AF85" s="2" t="inlineStr">
        <is>
          <t>6 months</t>
        </is>
      </c>
      <c r="AG85" s="2" t="inlineStr">
        <is>
          <t>2026-08-13</t>
        </is>
      </c>
      <c r="AH85" s="2" t="inlineStr">
        <is>
          <t>2027-02-13</t>
        </is>
      </c>
      <c r="AI85" s="2" t="inlineStr">
        <is>
          <t>Current - re-search on schedule</t>
        </is>
      </c>
    </row>
    <row r="86">
      <c r="A86" s="2" t="inlineStr">
        <is>
          <t>A6-06</t>
        </is>
      </c>
      <c r="B86" s="2" t="inlineStr">
        <is>
          <t>Eubanks — Automating Inequality</t>
        </is>
      </c>
      <c r="C86" s="7" t="inlineStr">
        <is>
          <t>https://archive.org/details/automatinginequa0000euba</t>
        </is>
      </c>
      <c r="D86" s="7" t="inlineStr">
        <is>
          <t>https://us.macmillan.com/books/9781250074317/automatinginequality</t>
        </is>
      </c>
      <c r="E86" s="6" t="inlineStr">
        <is>
          <t>Archive lending / publisher landing</t>
        </is>
      </c>
      <c r="F86" s="7" t="inlineStr">
        <is>
          <t>Located - restricted readable</t>
        </is>
      </c>
      <c r="G86" s="2" t="inlineStr">
        <is>
          <t>Archive lending/publisher page located.</t>
        </is>
      </c>
      <c r="H86" s="2" t="inlineStr">
        <is>
          <t>Eubanks — Automating Inequality pdf DOI readable source</t>
        </is>
      </c>
      <c r="I86" s="4" t="inlineStr">
        <is>
          <t>https://www.google.com/search?q=Eubanks+%E2%80%94+Automating+Inequality+pdf+DOI+readable+source</t>
        </is>
      </c>
      <c r="J86" s="7" t="inlineStr">
        <is>
          <t>2026-08-13</t>
        </is>
      </c>
      <c r="K86" s="7" t="inlineStr">
        <is>
          <t>Located (not charted)</t>
        </is>
      </c>
      <c r="L86" s="2" t="n">
        <v>6</v>
      </c>
      <c r="M86" s="2" t="inlineStr">
        <is>
          <t>WS-L</t>
        </is>
      </c>
      <c r="N86" s="2" t="inlineStr">
        <is>
          <t>A</t>
        </is>
      </c>
      <c r="O86" s="2" t="inlineStr">
        <is>
          <t>WARNING/ETHICS</t>
        </is>
      </c>
      <c r="P86" s="2" t="inlineStr">
        <is>
          <t>empirical</t>
        </is>
      </c>
      <c r="Q86" s="2" t="inlineStr">
        <is>
          <t>STS/policy</t>
        </is>
      </c>
      <c r="R86" s="2" t="inlineStr">
        <is>
          <t>correlational</t>
        </is>
      </c>
      <c r="S86" s="2" t="inlineStr">
        <is>
          <t>medium</t>
        </is>
      </c>
      <c r="T86" s="2" t="inlineStr">
        <is>
          <t>Automated systems encode harm and governance power.</t>
        </is>
      </c>
      <c r="U86" s="2" t="inlineStr">
        <is>
          <t>[to chart]</t>
        </is>
      </c>
      <c r="V86" s="2" t="inlineStr">
        <is>
          <t>[to chart]</t>
        </is>
      </c>
      <c r="W86" s="2" t="inlineStr">
        <is>
          <t>[to chart]</t>
        </is>
      </c>
      <c r="X86" s="2" t="inlineStr">
        <is>
          <t>no</t>
        </is>
      </c>
      <c r="Y86" s="2" t="inlineStr">
        <is>
          <t>yes</t>
        </is>
      </c>
      <c r="Z86" s="2" t="inlineStr">
        <is>
          <t>Caution against invisible decision systems.</t>
        </is>
      </c>
      <c r="AA86" s="2" t="inlineStr">
        <is>
          <t>Automation can harm invisibly.</t>
        </is>
      </c>
      <c r="AB86" s="2" t="inlineStr">
        <is>
          <t>CF-4</t>
        </is>
      </c>
      <c r="AC86" s="2" t="inlineStr">
        <is>
          <t>Design Veto Catalogue</t>
        </is>
      </c>
      <c r="AE86" s="2" t="inlineStr">
        <is>
          <t>Empirical / applied research</t>
        </is>
      </c>
      <c r="AF86" s="2" t="inlineStr">
        <is>
          <t>24 months</t>
        </is>
      </c>
      <c r="AG86" s="2" t="inlineStr">
        <is>
          <t>2026-08-13</t>
        </is>
      </c>
      <c r="AH86" s="2" t="inlineStr">
        <is>
          <t>2028-08-13</t>
        </is>
      </c>
      <c r="AI86" s="2" t="inlineStr">
        <is>
          <t>Current - located, access/fit caveat</t>
        </is>
      </c>
    </row>
    <row r="87">
      <c r="A87" s="2" t="inlineStr">
        <is>
          <t>A6-07</t>
        </is>
      </c>
      <c r="B87" s="2" t="inlineStr">
        <is>
          <t>Nissenbaum — Privacy in Context</t>
        </is>
      </c>
      <c r="C87" s="2" t="inlineStr">
        <is>
          <t>https://archive.org/details/privacyincontext0000niss</t>
        </is>
      </c>
      <c r="D87" s="2" t="inlineStr">
        <is>
          <t>https://www.sup.org/books/law/privacy-context</t>
        </is>
      </c>
      <c r="E87" t="inlineStr">
        <is>
          <t>Archive lending / publisher landing</t>
        </is>
      </c>
      <c r="F87" s="2" t="inlineStr">
        <is>
          <t>Located - restricted readable</t>
        </is>
      </c>
      <c r="G87" s="2" t="inlineStr">
        <is>
          <t>Archive lending and Stanford University Press landing located.</t>
        </is>
      </c>
      <c r="H87" s="2" t="inlineStr">
        <is>
          <t>Nissenbaum — Privacy in Context pdf DOI readable source</t>
        </is>
      </c>
      <c r="I87" s="4" t="inlineStr">
        <is>
          <t>https://www.google.com/search?q=Nissenbaum+%E2%80%94+Privacy+in+Context+pdf+DOI+readable+source</t>
        </is>
      </c>
      <c r="J87" s="2" t="inlineStr">
        <is>
          <t>2026-08-13</t>
        </is>
      </c>
      <c r="K87" s="2" t="inlineStr">
        <is>
          <t>Pending</t>
        </is>
      </c>
      <c r="L87" s="2" t="n">
        <v>6</v>
      </c>
      <c r="M87" s="2" t="inlineStr">
        <is>
          <t>WS-H</t>
        </is>
      </c>
      <c r="N87" s="2" t="inlineStr">
        <is>
          <t>B</t>
        </is>
      </c>
      <c r="O87" s="2" t="inlineStr">
        <is>
          <t>ETHICS/DESIGN</t>
        </is>
      </c>
      <c r="P87" s="2" t="inlineStr">
        <is>
          <t>theoretical</t>
        </is>
      </c>
      <c r="Q87" s="2" t="inlineStr">
        <is>
          <t>info ethics</t>
        </is>
      </c>
      <c r="R87" s="2" t="inlineStr">
        <is>
          <t>conceptual</t>
        </is>
      </c>
      <c r="S87" s="2" t="inlineStr">
        <is>
          <t>medium</t>
        </is>
      </c>
      <c r="T87" s="2" t="inlineStr">
        <is>
          <t>Contextual integrity governs appropriate data flows.</t>
        </is>
      </c>
      <c r="U87" s="2" t="inlineStr">
        <is>
          <t>[to chart]</t>
        </is>
      </c>
      <c r="V87" s="2" t="inlineStr">
        <is>
          <t>[to chart]</t>
        </is>
      </c>
      <c r="W87" s="2" t="inlineStr">
        <is>
          <t>[to chart]</t>
        </is>
      </c>
      <c r="X87" s="2" t="inlineStr">
        <is>
          <t>no</t>
        </is>
      </c>
      <c r="Y87" s="2" t="inlineStr">
        <is>
          <t>yes</t>
        </is>
      </c>
      <c r="Z87" s="2" t="inlineStr">
        <is>
          <t>Contextual integrity for capture.</t>
        </is>
      </c>
      <c r="AA87" s="2" t="inlineStr">
        <is>
          <t>Data has contextual norms.</t>
        </is>
      </c>
      <c r="AB87" s="2" t="inlineStr">
        <is>
          <t>CF-2</t>
        </is>
      </c>
      <c r="AC87" s="2" t="inlineStr">
        <is>
          <t>Digital Capture Architecture</t>
        </is>
      </c>
      <c r="AE87" s="2" t="inlineStr">
        <is>
          <t>General supporting source</t>
        </is>
      </c>
      <c r="AF87" s="2" t="inlineStr">
        <is>
          <t>36 months</t>
        </is>
      </c>
      <c r="AG87" s="2" t="inlineStr">
        <is>
          <t>2026-08-13</t>
        </is>
      </c>
      <c r="AH87" s="2" t="inlineStr">
        <is>
          <t>2029-08-13</t>
        </is>
      </c>
      <c r="AI87" s="2" t="inlineStr">
        <is>
          <t>Current - located, access/fit caveat</t>
        </is>
      </c>
    </row>
    <row r="88">
      <c r="A88" s="2" t="inlineStr">
        <is>
          <t>A6-08</t>
        </is>
      </c>
      <c r="B88" s="2" t="inlineStr">
        <is>
          <t>Mittelstadt et al. — The Ethics of Algorithms</t>
        </is>
      </c>
      <c r="C88" s="2" t="inlineStr">
        <is>
          <t>https://www.sfu.ca/~palys/MittelstadtEtAl-2016-TheEthicsOfAlgorithms.pdf</t>
        </is>
      </c>
      <c r="D88" s="2" t="inlineStr">
        <is>
          <t>https://doi.org/10.1177/2053951716679679</t>
        </is>
      </c>
      <c r="E88" t="inlineStr">
        <is>
          <t>Open PDF / DOI landing</t>
        </is>
      </c>
      <c r="F88" s="2" t="inlineStr">
        <is>
          <t>Located - readable source</t>
        </is>
      </c>
      <c r="G88" s="2" t="inlineStr">
        <is>
          <t>Open PDF and DOI located.</t>
        </is>
      </c>
      <c r="H88" s="2" t="inlineStr">
        <is>
          <t>Mittelstadt et al. — The Ethics of Algorithms pdf DOI readable source</t>
        </is>
      </c>
      <c r="I88" s="4" t="inlineStr">
        <is>
          <t>https://www.google.com/search?q=Mittelstadt+et+al.+%E2%80%94+The+Ethics+of+Algorithms+pdf+DOI+readable+source</t>
        </is>
      </c>
      <c r="J88" s="2" t="inlineStr">
        <is>
          <t>2026-08-13</t>
        </is>
      </c>
      <c r="K88" s="2" t="inlineStr">
        <is>
          <t>Pending</t>
        </is>
      </c>
      <c r="L88" s="2" t="n">
        <v>6</v>
      </c>
      <c r="M88" s="2" t="inlineStr">
        <is>
          <t>WS-L</t>
        </is>
      </c>
      <c r="N88" s="2" t="inlineStr">
        <is>
          <t>B</t>
        </is>
      </c>
      <c r="O88" s="2" t="inlineStr">
        <is>
          <t>ETHICS/WARNING</t>
        </is>
      </c>
      <c r="P88" s="2" t="inlineStr">
        <is>
          <t>review</t>
        </is>
      </c>
      <c r="Q88" s="2" t="inlineStr">
        <is>
          <t>AI ethics</t>
        </is>
      </c>
      <c r="R88" s="2" t="inlineStr">
        <is>
          <t>conceptual</t>
        </is>
      </c>
      <c r="S88" s="2" t="inlineStr">
        <is>
          <t>medium</t>
        </is>
      </c>
      <c r="T88" s="2" t="inlineStr">
        <is>
          <t>Opacity, responsibility, bias, autonomy concerns.</t>
        </is>
      </c>
      <c r="U88" s="2" t="inlineStr">
        <is>
          <t>[to chart]</t>
        </is>
      </c>
      <c r="V88" s="2" t="inlineStr">
        <is>
          <t>[to chart]</t>
        </is>
      </c>
      <c r="W88" s="2" t="inlineStr">
        <is>
          <t>[to chart]</t>
        </is>
      </c>
      <c r="X88" s="2" t="inlineStr">
        <is>
          <t>no</t>
        </is>
      </c>
      <c r="Y88" s="2" t="inlineStr">
        <is>
          <t>yes</t>
        </is>
      </c>
      <c r="Z88" s="2" t="inlineStr">
        <is>
          <t>Checklist of algorithmic harms.</t>
        </is>
      </c>
      <c r="AA88" s="2" t="inlineStr">
        <is>
          <t>Opacity threatens autonomy.</t>
        </is>
      </c>
      <c r="AB88" s="2" t="inlineStr">
        <is>
          <t>CF-4</t>
        </is>
      </c>
      <c r="AC88" s="2" t="inlineStr">
        <is>
          <t>Design Veto Catalogue</t>
        </is>
      </c>
      <c r="AE88" s="2" t="inlineStr">
        <is>
          <t>Fast-moving digital/AI/work trend</t>
        </is>
      </c>
      <c r="AF88" s="2" t="inlineStr">
        <is>
          <t>6 months</t>
        </is>
      </c>
      <c r="AG88" s="2" t="inlineStr">
        <is>
          <t>2026-08-13</t>
        </is>
      </c>
      <c r="AH88" s="2" t="inlineStr">
        <is>
          <t>2027-02-13</t>
        </is>
      </c>
      <c r="AI88" s="2" t="inlineStr">
        <is>
          <t>Current - re-search on schedule</t>
        </is>
      </c>
    </row>
    <row r="89">
      <c r="A89" s="2" t="inlineStr">
        <is>
          <t>A6-09</t>
        </is>
      </c>
      <c r="B89" s="2" t="inlineStr">
        <is>
          <t>Wachter, Mittelstadt &amp; Floridi — transparent/explainable AI</t>
        </is>
      </c>
      <c r="C89" s="2" t="inlineStr">
        <is>
          <t>https://discovery.ucl.ac.uk/id/eprint/10038294/</t>
        </is>
      </c>
      <c r="D89" s="2" t="inlineStr">
        <is>
          <t>https://doi.org/10.1126/scirobotics.aan6080</t>
        </is>
      </c>
      <c r="E89" t="inlineStr">
        <is>
          <t>Open repository / DOI landing</t>
        </is>
      </c>
      <c r="F89" s="2" t="inlineStr">
        <is>
          <t>Located - readable source</t>
        </is>
      </c>
      <c r="G89" s="2" t="inlineStr">
        <is>
          <t>UCL accepted manuscript and Science Robotics DOI located.</t>
        </is>
      </c>
      <c r="H89" s="2" t="inlineStr">
        <is>
          <t>Wachter, Mittelstadt &amp; Floridi — transparent/explainable AI pdf DOI readable source</t>
        </is>
      </c>
      <c r="I89" s="4" t="inlineStr">
        <is>
          <t>https://www.google.com/search?q=Wachter%2C+Mittelstadt+%26+Floridi+%E2%80%94+transparent%2Fexplainable+AI+pdf+DOI+readable+source</t>
        </is>
      </c>
      <c r="J89" s="2" t="inlineStr">
        <is>
          <t>2026-08-13</t>
        </is>
      </c>
      <c r="K89" s="2" t="inlineStr">
        <is>
          <t>Pending</t>
        </is>
      </c>
      <c r="L89" s="2" t="n">
        <v>6</v>
      </c>
      <c r="M89" s="2" t="inlineStr">
        <is>
          <t>WS-H</t>
        </is>
      </c>
      <c r="N89" s="2" t="inlineStr">
        <is>
          <t>B</t>
        </is>
      </c>
      <c r="O89" s="2" t="inlineStr">
        <is>
          <t>ETHICS/DESIGN</t>
        </is>
      </c>
      <c r="P89" s="2" t="inlineStr">
        <is>
          <t>theoretical</t>
        </is>
      </c>
      <c r="Q89" s="2" t="inlineStr">
        <is>
          <t>AI governance</t>
        </is>
      </c>
      <c r="R89" s="2" t="inlineStr">
        <is>
          <t>conceptual</t>
        </is>
      </c>
      <c r="S89" s="2" t="inlineStr">
        <is>
          <t>low</t>
        </is>
      </c>
      <c r="T89" s="2" t="inlineStr">
        <is>
          <t>Transparency/explanation in automated decisions.</t>
        </is>
      </c>
      <c r="U89" s="2" t="inlineStr">
        <is>
          <t>[to chart]</t>
        </is>
      </c>
      <c r="V89" s="2" t="inlineStr">
        <is>
          <t>[to chart]</t>
        </is>
      </c>
      <c r="W89" s="2" t="inlineStr">
        <is>
          <t>[to chart]</t>
        </is>
      </c>
      <c r="X89" s="2" t="inlineStr">
        <is>
          <t>no</t>
        </is>
      </c>
      <c r="Y89" s="2" t="inlineStr">
        <is>
          <t>partial</t>
        </is>
      </c>
      <c r="Z89" s="2" t="inlineStr">
        <is>
          <t>Explainability requirements.</t>
        </is>
      </c>
      <c r="AA89" s="2" t="inlineStr">
        <is>
          <t>Explanation supports agency.</t>
        </is>
      </c>
      <c r="AB89" s="2" t="inlineStr">
        <is>
          <t>CF-4</t>
        </is>
      </c>
      <c r="AC89" s="2" t="inlineStr">
        <is>
          <t>AI Assistant Use Rules</t>
        </is>
      </c>
      <c r="AE89" s="2" t="inlineStr">
        <is>
          <t>Fast-moving digital/AI/work trend</t>
        </is>
      </c>
      <c r="AF89" s="2" t="inlineStr">
        <is>
          <t>6 months</t>
        </is>
      </c>
      <c r="AG89" s="2" t="inlineStr">
        <is>
          <t>2026-08-13</t>
        </is>
      </c>
      <c r="AH89" s="2" t="inlineStr">
        <is>
          <t>2027-02-13</t>
        </is>
      </c>
      <c r="AI89" s="2" t="inlineStr">
        <is>
          <t>Current - re-search on schedule</t>
        </is>
      </c>
    </row>
    <row r="90">
      <c r="A90" s="2" t="inlineStr">
        <is>
          <t>A6-10</t>
        </is>
      </c>
      <c r="B90" s="2" t="inlineStr">
        <is>
          <t>Calo — Robotics and the Lessons of Cyberlaw</t>
        </is>
      </c>
      <c r="C90" s="2" t="inlineStr">
        <is>
          <t>https://techpolicylab.uw.edu/wp-content/uploads/2018/06/Robotics-Lessons-Cyberlaw-Calo.pdf</t>
        </is>
      </c>
      <c r="D90" s="2" t="inlineStr">
        <is>
          <t>https://digitalcommons.law.uw.edu/faculty-articles/23/</t>
        </is>
      </c>
      <c r="E90" t="inlineStr">
        <is>
          <t>Open PDF / faculty repository landing</t>
        </is>
      </c>
      <c r="F90" s="2" t="inlineStr">
        <is>
          <t>Located - readable source</t>
        </is>
      </c>
      <c r="G90" s="2" t="inlineStr">
        <is>
          <t>University-hosted PDF and UW faculty repository located.</t>
        </is>
      </c>
      <c r="H90" s="2" t="inlineStr">
        <is>
          <t>Calo — Robotics and the Lessons of Cyberlaw pdf DOI readable source</t>
        </is>
      </c>
      <c r="I90" s="4" t="inlineStr">
        <is>
          <t>https://www.google.com/search?q=Calo+%E2%80%94+Robotics+and+the+Lessons+of+Cyberlaw+pdf+DOI+readable+source</t>
        </is>
      </c>
      <c r="J90" s="2" t="inlineStr">
        <is>
          <t>2026-08-13</t>
        </is>
      </c>
      <c r="K90" s="2" t="inlineStr">
        <is>
          <t>Pending</t>
        </is>
      </c>
      <c r="L90" s="2" t="n">
        <v>6</v>
      </c>
      <c r="M90" s="2" t="inlineStr">
        <is>
          <t>WS-L</t>
        </is>
      </c>
      <c r="N90" s="2" t="inlineStr">
        <is>
          <t>B</t>
        </is>
      </c>
      <c r="O90" s="2" t="inlineStr">
        <is>
          <t>ETHICS/GOVERNANCE</t>
        </is>
      </c>
      <c r="P90" s="2" t="inlineStr">
        <is>
          <t>theoretical</t>
        </is>
      </c>
      <c r="Q90" s="2" t="inlineStr">
        <is>
          <t>law/tech</t>
        </is>
      </c>
      <c r="R90" s="2" t="inlineStr">
        <is>
          <t>conceptual</t>
        </is>
      </c>
      <c r="S90" s="2" t="inlineStr">
        <is>
          <t>low</t>
        </is>
      </c>
      <c r="T90" s="2" t="inlineStr">
        <is>
          <t>Governance lessons for embodied/automated systems.</t>
        </is>
      </c>
      <c r="U90" s="2" t="inlineStr">
        <is>
          <t>[to chart]</t>
        </is>
      </c>
      <c r="V90" s="2" t="inlineStr">
        <is>
          <t>[to chart]</t>
        </is>
      </c>
      <c r="W90" s="2" t="inlineStr">
        <is>
          <t>[to chart]</t>
        </is>
      </c>
      <c r="X90" s="2" t="inlineStr">
        <is>
          <t>no</t>
        </is>
      </c>
      <c r="Y90" s="2" t="inlineStr">
        <is>
          <t>partial</t>
        </is>
      </c>
      <c r="Z90" s="2" t="inlineStr">
        <is>
          <t>Governance framing.</t>
        </is>
      </c>
      <c r="AA90" s="2" t="inlineStr">
        <is>
          <t>Law shapes tool use.</t>
        </is>
      </c>
      <c r="AC90" s="2" t="inlineStr">
        <is>
          <t>Master Research Index</t>
        </is>
      </c>
      <c r="AE90" s="2" t="inlineStr">
        <is>
          <t>Fast-moving digital/AI/work trend</t>
        </is>
      </c>
      <c r="AF90" s="2" t="inlineStr">
        <is>
          <t>6 months</t>
        </is>
      </c>
      <c r="AG90" s="2" t="inlineStr">
        <is>
          <t>2026-08-13</t>
        </is>
      </c>
      <c r="AH90" s="2" t="inlineStr">
        <is>
          <t>2027-02-13</t>
        </is>
      </c>
      <c r="AI90" s="2" t="inlineStr">
        <is>
          <t>Current - re-search on schedule</t>
        </is>
      </c>
    </row>
    <row r="91">
      <c r="A91" s="2" t="inlineStr">
        <is>
          <t>A7-01</t>
        </is>
      </c>
      <c r="B91" s="2" t="inlineStr">
        <is>
          <t>Risko &amp; Gilbert — Cognitive Offloading</t>
        </is>
      </c>
      <c r="C91" s="7" t="inlineStr">
        <is>
          <t>https://discovery.ucl.ac.uk/id/eprint/1508770/1/gilbert_TiCS_OFFLOADING_RPS.pdf</t>
        </is>
      </c>
      <c r="D91" s="7" t="inlineStr">
        <is>
          <t>https://doi.org/10.1016/j.tics.2016.07.002</t>
        </is>
      </c>
      <c r="E91" s="6" t="inlineStr">
        <is>
          <t>Open PDF / DOI landing</t>
        </is>
      </c>
      <c r="F91" s="7" t="inlineStr">
        <is>
          <t>Located - readable source</t>
        </is>
      </c>
      <c r="G91" s="2" t="inlineStr">
        <is>
          <t>Open UCL PDF located.</t>
        </is>
      </c>
      <c r="H91" s="2" t="inlineStr">
        <is>
          <t>Risko &amp; Gilbert — Cognitive Offloading pdf DOI readable source</t>
        </is>
      </c>
      <c r="I91" s="4" t="inlineStr">
        <is>
          <t>https://www.google.com/search?q=Risko+%26+Gilbert+%E2%80%94+Cognitive+Offloading+pdf+DOI+readable+source</t>
        </is>
      </c>
      <c r="J91" s="7" t="inlineStr">
        <is>
          <t>2026-08-13</t>
        </is>
      </c>
      <c r="K91" s="7" t="inlineStr">
        <is>
          <t>Located (not charted)</t>
        </is>
      </c>
      <c r="L91" s="2" t="n">
        <v>7</v>
      </c>
      <c r="M91" s="2" t="inlineStr">
        <is>
          <t>WS-B</t>
        </is>
      </c>
      <c r="N91" s="2" t="inlineStr">
        <is>
          <t>A</t>
        </is>
      </c>
      <c r="O91" s="2" t="inlineStr">
        <is>
          <t>MECHANISM/WARNING</t>
        </is>
      </c>
      <c r="P91" s="2" t="inlineStr">
        <is>
          <t>review</t>
        </is>
      </c>
      <c r="Q91" s="2" t="inlineStr">
        <is>
          <t>cognitive science</t>
        </is>
      </c>
      <c r="R91" s="2" t="inlineStr">
        <is>
          <t>conceptual</t>
        </is>
      </c>
      <c r="S91" s="2" t="inlineStr">
        <is>
          <t>high</t>
        </is>
      </c>
      <c r="T91" s="2" t="inlineStr">
        <is>
          <t>Using external aids to reduce cognitive demand; adaptive vs atrophy.</t>
        </is>
      </c>
      <c r="U91" s="2" t="inlineStr">
        <is>
          <t>[to chart]</t>
        </is>
      </c>
      <c r="V91" s="2" t="inlineStr">
        <is>
          <t>[to chart]</t>
        </is>
      </c>
      <c r="W91" s="2" t="inlineStr">
        <is>
          <t>[to chart]</t>
        </is>
      </c>
      <c r="X91" s="2" t="inlineStr">
        <is>
          <t>partial</t>
        </is>
      </c>
      <c r="Y91" s="2" t="inlineStr">
        <is>
          <t>yes</t>
        </is>
      </c>
      <c r="Z91" s="2" t="inlineStr">
        <is>
          <t>Distinguish adaptive offloading from atrophy.</t>
        </is>
      </c>
      <c r="AA91" s="2" t="inlineStr">
        <is>
          <t>Offloading has a cost.</t>
        </is>
      </c>
      <c r="AB91" s="2" t="inlineStr">
        <is>
          <t>CF-3</t>
        </is>
      </c>
      <c r="AC91" s="2" t="inlineStr">
        <is>
          <t>AI Assistant Use Rules</t>
        </is>
      </c>
      <c r="AD91" s="2" t="inlineStr">
        <is>
          <t>OC-13</t>
        </is>
      </c>
      <c r="AE91" s="2" t="inlineStr">
        <is>
          <t>Empirical / applied research</t>
        </is>
      </c>
      <c r="AF91" s="2" t="inlineStr">
        <is>
          <t>24 months</t>
        </is>
      </c>
      <c r="AG91" s="2" t="inlineStr">
        <is>
          <t>2026-08-13</t>
        </is>
      </c>
      <c r="AH91" s="2" t="inlineStr">
        <is>
          <t>2028-08-13</t>
        </is>
      </c>
      <c r="AI91" s="2" t="inlineStr">
        <is>
          <t>Current - re-search on schedule</t>
        </is>
      </c>
    </row>
    <row r="92">
      <c r="A92" s="2" t="inlineStr">
        <is>
          <t>A7-02</t>
        </is>
      </c>
      <c r="B92" s="2" t="inlineStr">
        <is>
          <t>Sparrow, Liu &amp; Wegner — Google Effects on Memory</t>
        </is>
      </c>
      <c r="C92" s="7" t="inlineStr">
        <is>
          <t>https://pubmed.ncbi.nlm.nih.gov/21764755/</t>
        </is>
      </c>
      <c r="D92" s="7" t="inlineStr">
        <is>
          <t>https://www.science.org/doi/10.1126/science.1207745</t>
        </is>
      </c>
      <c r="E92" s="6" t="inlineStr">
        <is>
          <t>PubMed / DOI landing</t>
        </is>
      </c>
      <c r="F92" s="7" t="inlineStr">
        <is>
          <t>Located - source landing</t>
        </is>
      </c>
      <c r="G92" s="2" t="inlineStr">
        <is>
          <t>PubMed and Science DOI located; use institutional/legal access for final full text.</t>
        </is>
      </c>
      <c r="H92" s="2" t="inlineStr">
        <is>
          <t>Sparrow, Liu &amp; Wegner — Google Effects on Memory pdf DOI readable source</t>
        </is>
      </c>
      <c r="I92" s="4" t="inlineStr">
        <is>
          <t>https://www.google.com/search?q=Sparrow%2C+Liu+%26+Wegner+%E2%80%94+Google+Effects+on+Memory+pdf+DOI+readable+source</t>
        </is>
      </c>
      <c r="J92" s="7" t="inlineStr">
        <is>
          <t>2026-08-13</t>
        </is>
      </c>
      <c r="K92" s="7" t="inlineStr">
        <is>
          <t>Located (not charted)</t>
        </is>
      </c>
      <c r="L92" s="2" t="n">
        <v>7</v>
      </c>
      <c r="M92" s="2" t="inlineStr">
        <is>
          <t>WS-H</t>
        </is>
      </c>
      <c r="N92" s="2" t="inlineStr">
        <is>
          <t>A</t>
        </is>
      </c>
      <c r="O92" s="2" t="inlineStr">
        <is>
          <t>WARNING</t>
        </is>
      </c>
      <c r="P92" s="2" t="inlineStr">
        <is>
          <t>empirical</t>
        </is>
      </c>
      <c r="Q92" s="2" t="inlineStr">
        <is>
          <t>psychology</t>
        </is>
      </c>
      <c r="R92" s="2" t="inlineStr">
        <is>
          <t>causal</t>
        </is>
      </c>
      <c r="S92" s="2" t="inlineStr">
        <is>
          <t>high</t>
        </is>
      </c>
      <c r="T92" s="2" t="inlineStr">
        <is>
          <t>Expecting external availability changes what is remembered.</t>
        </is>
      </c>
      <c r="U92" s="2" t="inlineStr">
        <is>
          <t>[to chart]</t>
        </is>
      </c>
      <c r="V92" s="2" t="inlineStr">
        <is>
          <t>[to chart]</t>
        </is>
      </c>
      <c r="W92" s="2" t="inlineStr">
        <is>
          <t>[to chart]</t>
        </is>
      </c>
      <c r="X92" s="2" t="inlineStr">
        <is>
          <t>partial</t>
        </is>
      </c>
      <c r="Y92" s="2" t="inlineStr">
        <is>
          <t>partial</t>
        </is>
      </c>
      <c r="Z92" s="2" t="inlineStr">
        <is>
          <t>External memory reshapes recall.</t>
        </is>
      </c>
      <c r="AA92" s="2" t="inlineStr">
        <is>
          <t>Availability alters memory.</t>
        </is>
      </c>
      <c r="AB92" s="2" t="inlineStr">
        <is>
          <t>CF-3</t>
        </is>
      </c>
      <c r="AC92" s="2" t="inlineStr">
        <is>
          <t>AI Assistant Use Rules</t>
        </is>
      </c>
      <c r="AE92" s="2" t="inlineStr">
        <is>
          <t>Empirical / applied research</t>
        </is>
      </c>
      <c r="AF92" s="2" t="inlineStr">
        <is>
          <t>24 months</t>
        </is>
      </c>
      <c r="AG92" s="2" t="inlineStr">
        <is>
          <t>2026-08-13</t>
        </is>
      </c>
      <c r="AH92" s="2" t="inlineStr">
        <is>
          <t>2028-08-13</t>
        </is>
      </c>
      <c r="AI92" s="2" t="inlineStr">
        <is>
          <t>Current - located, access/fit caveat</t>
        </is>
      </c>
    </row>
    <row r="93">
      <c r="A93" s="2" t="inlineStr">
        <is>
          <t>A7-03</t>
        </is>
      </c>
      <c r="B93" s="2" t="inlineStr">
        <is>
          <t>Zhu et al. — Dependent vs Autonomous Offloading to GenAI</t>
        </is>
      </c>
      <c r="C93" s="7" t="inlineStr">
        <is>
          <t>https://www.frontiersin.org/journals/psychology/articles/10.3389/fpsyg.2026.1878629/pdf</t>
        </is>
      </c>
      <c r="D93" s="7" t="inlineStr">
        <is>
          <t>https://pubmed.ncbi.nlm.nih.gov/42534412/</t>
        </is>
      </c>
      <c r="E93" s="6" t="inlineStr">
        <is>
          <t>Open PDF / PubMed</t>
        </is>
      </c>
      <c r="F93" s="7" t="inlineStr">
        <is>
          <t>Located - readable source</t>
        </is>
      </c>
      <c r="G93" s="2" t="inlineStr">
        <is>
          <t>Open Frontiers/PubMed source located.</t>
        </is>
      </c>
      <c r="H93" s="2" t="inlineStr">
        <is>
          <t>Zhu et al. — Dependent vs Autonomous Offloading to GenAI pdf DOI readable source</t>
        </is>
      </c>
      <c r="I93" s="4" t="inlineStr">
        <is>
          <t>https://www.google.com/search?q=Zhu+et+al.+%E2%80%94+Dependent+vs+Autonomous+Offloading+to+GenAI+pdf+DOI+readable+source</t>
        </is>
      </c>
      <c r="J93" s="7" t="inlineStr">
        <is>
          <t>2026-08-13</t>
        </is>
      </c>
      <c r="K93" s="7" t="inlineStr">
        <is>
          <t>Located (not charted)</t>
        </is>
      </c>
      <c r="L93" s="2" t="n">
        <v>7</v>
      </c>
      <c r="M93" s="2" t="inlineStr">
        <is>
          <t>WS-H</t>
        </is>
      </c>
      <c r="N93" s="2" t="inlineStr">
        <is>
          <t>A</t>
        </is>
      </c>
      <c r="O93" s="2" t="inlineStr">
        <is>
          <t>EMPIRICAL/DESIGN</t>
        </is>
      </c>
      <c r="P93" s="2" t="inlineStr">
        <is>
          <t>empirical</t>
        </is>
      </c>
      <c r="Q93" s="2" t="inlineStr">
        <is>
          <t>HCI/AI</t>
        </is>
      </c>
      <c r="R93" s="2" t="inlineStr">
        <is>
          <t>correlational</t>
        </is>
      </c>
      <c r="S93" s="2" t="inlineStr">
        <is>
          <t>high</t>
        </is>
      </c>
      <c r="T93" s="2" t="inlineStr">
        <is>
          <t>Distinguishes dependent from autonomous offloading to generative AI.</t>
        </is>
      </c>
      <c r="U93" s="2" t="inlineStr">
        <is>
          <t>[to chart]</t>
        </is>
      </c>
      <c r="V93" s="2" t="inlineStr">
        <is>
          <t>[to chart]</t>
        </is>
      </c>
      <c r="W93" s="2" t="inlineStr">
        <is>
          <t>[to chart]</t>
        </is>
      </c>
      <c r="X93" s="2" t="inlineStr">
        <is>
          <t>partial</t>
        </is>
      </c>
      <c r="Y93" s="2" t="inlineStr">
        <is>
          <t>yes</t>
        </is>
      </c>
      <c r="Z93" s="2" t="inlineStr">
        <is>
          <t>Direct rule: scaffold thinking without transferring agency.</t>
        </is>
      </c>
      <c r="AA93" s="2" t="inlineStr">
        <is>
          <t>Autonomous vs dependent offloading.</t>
        </is>
      </c>
      <c r="AB93" s="2" t="inlineStr">
        <is>
          <t>CF-3</t>
        </is>
      </c>
      <c r="AC93" s="2" t="inlineStr">
        <is>
          <t>AI Assistant Use Rules</t>
        </is>
      </c>
      <c r="AD93" s="2" t="inlineStr">
        <is>
          <t>OC-13</t>
        </is>
      </c>
      <c r="AE93" s="2" t="inlineStr">
        <is>
          <t>Fast-moving digital/AI/work trend</t>
        </is>
      </c>
      <c r="AF93" s="2" t="inlineStr">
        <is>
          <t>6 months</t>
        </is>
      </c>
      <c r="AG93" s="2" t="inlineStr">
        <is>
          <t>2026-08-13</t>
        </is>
      </c>
      <c r="AH93" s="2" t="inlineStr">
        <is>
          <t>2027-02-13</t>
        </is>
      </c>
      <c r="AI93" s="2" t="inlineStr">
        <is>
          <t>Current - re-search on schedule</t>
        </is>
      </c>
    </row>
    <row r="94">
      <c r="A94" s="2" t="inlineStr">
        <is>
          <t>A7-04</t>
        </is>
      </c>
      <c r="B94" s="2" t="inlineStr">
        <is>
          <t>Chirayath et al. — Cognitive Offloading or Overload?</t>
        </is>
      </c>
      <c r="C94" s="7" t="inlineStr">
        <is>
          <t>https://public-pages-files-2025.frontiersin.org/journals/psychology/articles/10.3389/fpsyg.2025.1699320/pdf</t>
        </is>
      </c>
      <c r="D94" s="7" t="inlineStr">
        <is>
          <t>https://doi.org/10.3389/fpsyg.2025.1699320</t>
        </is>
      </c>
      <c r="E94" s="6" t="inlineStr">
        <is>
          <t>Open PDF / DOI landing</t>
        </is>
      </c>
      <c r="F94" s="7" t="inlineStr">
        <is>
          <t>Located - readable source</t>
        </is>
      </c>
      <c r="G94" s="2" t="inlineStr">
        <is>
          <t>Open Frontiers PDF located.</t>
        </is>
      </c>
      <c r="H94" s="2" t="inlineStr">
        <is>
          <t>Chirayath et al. — Cognitive Offloading or Overload? pdf DOI readable source</t>
        </is>
      </c>
      <c r="I94" s="4" t="inlineStr">
        <is>
          <t>https://www.google.com/search?q=Chirayath+et+al.+%E2%80%94+Cognitive+Offloading+or+Overload%3F+pdf+DOI+readable+source</t>
        </is>
      </c>
      <c r="J94" s="7" t="inlineStr">
        <is>
          <t>2026-08-13</t>
        </is>
      </c>
      <c r="K94" s="7" t="inlineStr">
        <is>
          <t>Located (not charted)</t>
        </is>
      </c>
      <c r="L94" s="2" t="n">
        <v>7</v>
      </c>
      <c r="M94" s="2" t="inlineStr">
        <is>
          <t>WS-I</t>
        </is>
      </c>
      <c r="N94" s="2" t="inlineStr">
        <is>
          <t>A</t>
        </is>
      </c>
      <c r="O94" s="2" t="inlineStr">
        <is>
          <t>WARNING/DESIGN</t>
        </is>
      </c>
      <c r="P94" s="2" t="inlineStr">
        <is>
          <t>theoretical</t>
        </is>
      </c>
      <c r="Q94" s="2" t="inlineStr">
        <is>
          <t>cognitive science</t>
        </is>
      </c>
      <c r="R94" s="2" t="inlineStr">
        <is>
          <t>conceptual</t>
        </is>
      </c>
      <c r="S94" s="2" t="inlineStr">
        <is>
          <t>medium</t>
        </is>
      </c>
      <c r="T94" s="2" t="inlineStr">
        <is>
          <t>AI as coping support and overload/dependency risk.</t>
        </is>
      </c>
      <c r="U94" s="2" t="inlineStr">
        <is>
          <t>[to chart]</t>
        </is>
      </c>
      <c r="V94" s="2" t="inlineStr">
        <is>
          <t>[to chart]</t>
        </is>
      </c>
      <c r="W94" s="2" t="inlineStr">
        <is>
          <t>[to chart]</t>
        </is>
      </c>
      <c r="X94" s="2" t="inlineStr">
        <is>
          <t>partial</t>
        </is>
      </c>
      <c r="Y94" s="2" t="inlineStr">
        <is>
          <t>yes</t>
        </is>
      </c>
      <c r="Z94" s="2" t="inlineStr">
        <is>
          <t>Anti-overreliance; hypermonitoring risk.</t>
        </is>
      </c>
      <c r="AA94" s="2" t="inlineStr">
        <is>
          <t>Support can become overload.</t>
        </is>
      </c>
      <c r="AB94" s="2" t="inlineStr">
        <is>
          <t>CF-3</t>
        </is>
      </c>
      <c r="AC94" s="2" t="inlineStr">
        <is>
          <t>Motivation Crowding Watch Card</t>
        </is>
      </c>
      <c r="AE94" s="2" t="inlineStr">
        <is>
          <t>General supporting source</t>
        </is>
      </c>
      <c r="AF94" s="2" t="inlineStr">
        <is>
          <t>36 months</t>
        </is>
      </c>
      <c r="AG94" s="2" t="inlineStr">
        <is>
          <t>2026-08-13</t>
        </is>
      </c>
      <c r="AH94" s="2" t="inlineStr">
        <is>
          <t>2029-08-13</t>
        </is>
      </c>
      <c r="AI94" s="2" t="inlineStr">
        <is>
          <t>Current - re-search on schedule</t>
        </is>
      </c>
    </row>
    <row r="95">
      <c r="A95" s="2" t="inlineStr">
        <is>
          <t>A7-05</t>
        </is>
      </c>
      <c r="B95" s="2" t="inlineStr">
        <is>
          <t>Molenaar — Regulation of Learning and AI</t>
        </is>
      </c>
      <c r="C95" s="7" t="inlineStr">
        <is>
          <t>https://doaj.org/article/e98b82c211794158848a4c1363de1847</t>
        </is>
      </c>
      <c r="D95" s="7" t="inlineStr">
        <is>
          <t>https://doi.org/10.1016/j.caeai.2022.100070</t>
        </is>
      </c>
      <c r="E95" s="6" t="inlineStr">
        <is>
          <t>DOAJ / DOI landing</t>
        </is>
      </c>
      <c r="F95" s="7" t="inlineStr">
        <is>
          <t>Located - readable source</t>
        </is>
      </c>
      <c r="G95" s="2" t="inlineStr">
        <is>
          <t>DOAJ/ScienceDirect open access record located.</t>
        </is>
      </c>
      <c r="H95" s="2" t="inlineStr">
        <is>
          <t>Molenaar — Regulation of Learning and AI pdf DOI readable source</t>
        </is>
      </c>
      <c r="I95" s="4" t="inlineStr">
        <is>
          <t>https://www.google.com/search?q=Molenaar+%E2%80%94+Regulation+of+Learning+and+AI+pdf+DOI+readable+source</t>
        </is>
      </c>
      <c r="J95" s="7" t="inlineStr">
        <is>
          <t>2026-08-13</t>
        </is>
      </c>
      <c r="K95" s="7" t="inlineStr">
        <is>
          <t>Located (not charted)</t>
        </is>
      </c>
      <c r="L95" s="2" t="n">
        <v>7</v>
      </c>
      <c r="M95" s="2" t="inlineStr">
        <is>
          <t>WS-B</t>
        </is>
      </c>
      <c r="N95" s="2" t="inlineStr">
        <is>
          <t>A</t>
        </is>
      </c>
      <c r="O95" s="2" t="inlineStr">
        <is>
          <t>MECHANISM/DESIGN</t>
        </is>
      </c>
      <c r="P95" s="2" t="inlineStr">
        <is>
          <t>theoretical</t>
        </is>
      </c>
      <c r="Q95" s="2" t="inlineStr">
        <is>
          <t>learning sciences</t>
        </is>
      </c>
      <c r="R95" s="2" t="inlineStr">
        <is>
          <t>conceptual</t>
        </is>
      </c>
      <c r="S95" s="2" t="inlineStr">
        <is>
          <t>medium</t>
        </is>
      </c>
      <c r="T95" s="2" t="inlineStr">
        <is>
          <t>Distinguishes shared regulation from AI taking over regulation.</t>
        </is>
      </c>
      <c r="U95" s="2" t="inlineStr">
        <is>
          <t>[to chart]</t>
        </is>
      </c>
      <c r="V95" s="2" t="inlineStr">
        <is>
          <t>[to chart]</t>
        </is>
      </c>
      <c r="W95" s="2" t="inlineStr">
        <is>
          <t>[to chart]</t>
        </is>
      </c>
      <c r="X95" s="2" t="inlineStr">
        <is>
          <t>partial</t>
        </is>
      </c>
      <c r="Y95" s="2" t="inlineStr">
        <is>
          <t>yes</t>
        </is>
      </c>
      <c r="Z95" s="2" t="inlineStr">
        <is>
          <t>AI as coach, not governor.</t>
        </is>
      </c>
      <c r="AA95" s="2" t="inlineStr">
        <is>
          <t>Hybrid regulation, not takeover.</t>
        </is>
      </c>
      <c r="AB95" s="2" t="inlineStr">
        <is>
          <t>CF-4</t>
        </is>
      </c>
      <c r="AC95" s="2" t="inlineStr">
        <is>
          <t>AI Assistant Use Rules</t>
        </is>
      </c>
      <c r="AE95" s="2" t="inlineStr">
        <is>
          <t>Fast-moving digital/AI/work trend</t>
        </is>
      </c>
      <c r="AF95" s="2" t="inlineStr">
        <is>
          <t>6 months</t>
        </is>
      </c>
      <c r="AG95" s="2" t="inlineStr">
        <is>
          <t>2026-08-13</t>
        </is>
      </c>
      <c r="AH95" s="2" t="inlineStr">
        <is>
          <t>2027-02-13</t>
        </is>
      </c>
      <c r="AI95" s="2" t="inlineStr">
        <is>
          <t>Current - re-search on schedule</t>
        </is>
      </c>
    </row>
    <row r="96">
      <c r="A96" s="2" t="inlineStr">
        <is>
          <t>A7-06</t>
        </is>
      </c>
      <c r="B96" s="2" t="inlineStr">
        <is>
          <t>Zimmerman — Self-Regulated Learning</t>
        </is>
      </c>
      <c r="C96" s="7" t="inlineStr">
        <is>
          <t>https://www.leiderschapsdomeinen.nl/wp-content/uploads/2016/12/Zimmerman-B.-2002-Becoming-Self-Regulated-Learner.pdf</t>
        </is>
      </c>
      <c r="D96" s="7" t="inlineStr">
        <is>
          <t>https://doi.org/10.1207/S15430421TIP4102_2</t>
        </is>
      </c>
      <c r="E96" s="6" t="inlineStr">
        <is>
          <t>Open PDF / DOI landing</t>
        </is>
      </c>
      <c r="F96" s="7" t="inlineStr">
        <is>
          <t>Located - readable source</t>
        </is>
      </c>
      <c r="G96" s="2" t="inlineStr">
        <is>
          <t>Open PDF located.</t>
        </is>
      </c>
      <c r="H96" s="2" t="inlineStr">
        <is>
          <t>Zimmerman — Self-Regulated Learning pdf DOI readable source</t>
        </is>
      </c>
      <c r="I96" s="4" t="inlineStr">
        <is>
          <t>https://www.google.com/search?q=Zimmerman+%E2%80%94+Self-Regulated+Learning+pdf+DOI+readable+source</t>
        </is>
      </c>
      <c r="J96" s="7" t="inlineStr">
        <is>
          <t>2026-08-13</t>
        </is>
      </c>
      <c r="K96" s="7" t="inlineStr">
        <is>
          <t>Located (not charted)</t>
        </is>
      </c>
      <c r="L96" s="2" t="n">
        <v>7</v>
      </c>
      <c r="M96" s="2" t="inlineStr">
        <is>
          <t>WS-B</t>
        </is>
      </c>
      <c r="N96" s="2" t="inlineStr">
        <is>
          <t>A</t>
        </is>
      </c>
      <c r="O96" s="2" t="inlineStr">
        <is>
          <t>MECHANISM</t>
        </is>
      </c>
      <c r="P96" s="2" t="inlineStr">
        <is>
          <t>theoretical</t>
        </is>
      </c>
      <c r="Q96" s="2" t="inlineStr">
        <is>
          <t>educational psych</t>
        </is>
      </c>
      <c r="R96" s="2" t="inlineStr">
        <is>
          <t>conceptual</t>
        </is>
      </c>
      <c r="S96" s="2" t="inlineStr">
        <is>
          <t>medium</t>
        </is>
      </c>
      <c r="T96" s="2" t="inlineStr">
        <is>
          <t>Forethought, performance, reflection cycle.</t>
        </is>
      </c>
      <c r="U96" s="2" t="inlineStr">
        <is>
          <t>[to chart]</t>
        </is>
      </c>
      <c r="V96" s="2" t="inlineStr">
        <is>
          <t>[to chart]</t>
        </is>
      </c>
      <c r="W96" s="2" t="inlineStr">
        <is>
          <t>[to chart]</t>
        </is>
      </c>
      <c r="X96" s="2" t="inlineStr">
        <is>
          <t>yes</t>
        </is>
      </c>
      <c r="Y96" s="2" t="inlineStr">
        <is>
          <t>partial</t>
        </is>
      </c>
      <c r="Z96" s="2" t="inlineStr">
        <is>
          <t>Ensure AI does not bypass planning/monitoring/reflection.</t>
        </is>
      </c>
      <c r="AA96" s="2" t="inlineStr">
        <is>
          <t>Preserve the SRL cycle.</t>
        </is>
      </c>
      <c r="AB96" s="2" t="inlineStr">
        <is>
          <t>CF-3</t>
        </is>
      </c>
      <c r="AC96" s="2" t="inlineStr">
        <is>
          <t>AI Assistant Use Rules</t>
        </is>
      </c>
      <c r="AE96" s="2" t="inlineStr">
        <is>
          <t>General supporting source</t>
        </is>
      </c>
      <c r="AF96" s="2" t="inlineStr">
        <is>
          <t>36 months</t>
        </is>
      </c>
      <c r="AG96" s="2" t="inlineStr">
        <is>
          <t>2026-08-13</t>
        </is>
      </c>
      <c r="AH96" s="2" t="inlineStr">
        <is>
          <t>2029-08-13</t>
        </is>
      </c>
      <c r="AI96" s="2" t="inlineStr">
        <is>
          <t>Current - re-search on schedule</t>
        </is>
      </c>
    </row>
    <row r="97">
      <c r="A97" s="2" t="inlineStr">
        <is>
          <t>A7-07</t>
        </is>
      </c>
      <c r="B97" s="2" t="inlineStr">
        <is>
          <t>Salomon, Perkins &amp; Globerson — Partners in Cognition</t>
        </is>
      </c>
      <c r="C97" s="2" t="inlineStr">
        <is>
          <t>http://www.acousticslab.org/dots_sample/module5/SalomonEtAl1991.pdf</t>
        </is>
      </c>
      <c r="D97" s="2" t="inlineStr">
        <is>
          <t>https://doi.org/10.3102/0013189X020003002</t>
        </is>
      </c>
      <c r="E97" t="inlineStr">
        <is>
          <t>Open PDF / DOI landing</t>
        </is>
      </c>
      <c r="F97" s="2" t="inlineStr">
        <is>
          <t>Located - readable source</t>
        </is>
      </c>
      <c r="G97" s="2" t="inlineStr">
        <is>
          <t>Readable PDF and DOI located.</t>
        </is>
      </c>
      <c r="H97" s="2" t="inlineStr">
        <is>
          <t>Salomon, Perkins &amp; Globerson — Partners in Cognition pdf DOI readable source</t>
        </is>
      </c>
      <c r="I97" s="4" t="inlineStr">
        <is>
          <t>https://www.google.com/search?q=Salomon%2C+Perkins+%26+Globerson+%E2%80%94+Partners+in+Cognition+pdf+DOI+readable+source</t>
        </is>
      </c>
      <c r="J97" s="2" t="inlineStr">
        <is>
          <t>2026-08-13</t>
        </is>
      </c>
      <c r="K97" s="2" t="inlineStr">
        <is>
          <t>Pending</t>
        </is>
      </c>
      <c r="L97" s="2" t="n">
        <v>7</v>
      </c>
      <c r="M97" s="2" t="inlineStr">
        <is>
          <t>WS-B</t>
        </is>
      </c>
      <c r="N97" s="2" t="inlineStr">
        <is>
          <t>B</t>
        </is>
      </c>
      <c r="O97" s="2" t="inlineStr">
        <is>
          <t>TELOS/DESIGN</t>
        </is>
      </c>
      <c r="P97" s="2" t="inlineStr">
        <is>
          <t>theoretical</t>
        </is>
      </c>
      <c r="Q97" s="2" t="inlineStr">
        <is>
          <t>cognitive science</t>
        </is>
      </c>
      <c r="R97" s="2" t="inlineStr">
        <is>
          <t>conceptual</t>
        </is>
      </c>
      <c r="S97" s="2" t="inlineStr">
        <is>
          <t>medium</t>
        </is>
      </c>
      <c r="T97" s="2" t="inlineStr">
        <is>
          <t>Effects with vs effects of intelligent technologies.</t>
        </is>
      </c>
      <c r="U97" s="2" t="inlineStr">
        <is>
          <t>[to chart]</t>
        </is>
      </c>
      <c r="V97" s="2" t="inlineStr">
        <is>
          <t>[to chart]</t>
        </is>
      </c>
      <c r="W97" s="2" t="inlineStr">
        <is>
          <t>[to chart]</t>
        </is>
      </c>
      <c r="X97" s="2" t="inlineStr">
        <is>
          <t>partial</t>
        </is>
      </c>
      <c r="Y97" s="2" t="inlineStr">
        <is>
          <t>partial</t>
        </is>
      </c>
      <c r="Z97" s="2" t="inlineStr">
        <is>
          <t>Seek durable 'effects of' not just 'effects with'.</t>
        </is>
      </c>
      <c r="AA97" s="2" t="inlineStr">
        <is>
          <t>Tools should leave capacity behind.</t>
        </is>
      </c>
      <c r="AB97" s="2" t="inlineStr">
        <is>
          <t>CF-3</t>
        </is>
      </c>
      <c r="AC97" s="2" t="inlineStr">
        <is>
          <t>AI Assistant Use Rules</t>
        </is>
      </c>
      <c r="AE97" s="2" t="inlineStr">
        <is>
          <t>General supporting source</t>
        </is>
      </c>
      <c r="AF97" s="2" t="inlineStr">
        <is>
          <t>36 months</t>
        </is>
      </c>
      <c r="AG97" s="2" t="inlineStr">
        <is>
          <t>2026-08-13</t>
        </is>
      </c>
      <c r="AH97" s="2" t="inlineStr">
        <is>
          <t>2029-08-13</t>
        </is>
      </c>
      <c r="AI97" s="2" t="inlineStr">
        <is>
          <t>Current - re-search on schedule</t>
        </is>
      </c>
    </row>
    <row r="98">
      <c r="A98" s="2" t="inlineStr">
        <is>
          <t>A7-08</t>
        </is>
      </c>
      <c r="B98" s="2" t="inlineStr">
        <is>
          <t>Kirsh — The Intelligent Use of Space</t>
        </is>
      </c>
      <c r="C98" s="2" t="inlineStr">
        <is>
          <t>https://adrenaline.ucsd.edu/kirsh/Articles/Space/intelligent_useof_space.pdf</t>
        </is>
      </c>
      <c r="D98" s="2" t="inlineStr">
        <is>
          <t>https://adrenaline.ucsd.edu/kirsh/Articles/Space/AIJ1.html</t>
        </is>
      </c>
      <c r="E98" t="inlineStr">
        <is>
          <t>Author PDF / author HTML</t>
        </is>
      </c>
      <c r="F98" s="2" t="inlineStr">
        <is>
          <t>Located - readable source</t>
        </is>
      </c>
      <c r="G98" s="2" t="inlineStr">
        <is>
          <t>UCSD author PDF and HTML located.</t>
        </is>
      </c>
      <c r="H98" s="2" t="inlineStr">
        <is>
          <t>Kirsh — The Intelligent Use of Space pdf DOI readable source</t>
        </is>
      </c>
      <c r="I98" s="4" t="inlineStr">
        <is>
          <t>https://www.google.com/search?q=Kirsh+%E2%80%94+The+Intelligent+Use+of+Space+pdf+DOI+readable+source</t>
        </is>
      </c>
      <c r="J98" s="2" t="inlineStr">
        <is>
          <t>2026-08-13</t>
        </is>
      </c>
      <c r="K98" s="2" t="inlineStr">
        <is>
          <t>Pending</t>
        </is>
      </c>
      <c r="L98" s="2" t="n">
        <v>7</v>
      </c>
      <c r="M98" s="2" t="inlineStr">
        <is>
          <t>WS-E</t>
        </is>
      </c>
      <c r="N98" s="2" t="inlineStr">
        <is>
          <t>B</t>
        </is>
      </c>
      <c r="O98" s="2" t="inlineStr">
        <is>
          <t>MECHANISM/DESIGN</t>
        </is>
      </c>
      <c r="P98" s="2" t="inlineStr">
        <is>
          <t>theoretical</t>
        </is>
      </c>
      <c r="Q98" s="2" t="inlineStr">
        <is>
          <t>cognitive science</t>
        </is>
      </c>
      <c r="R98" s="2" t="inlineStr">
        <is>
          <t>conceptual</t>
        </is>
      </c>
      <c r="S98" s="2" t="inlineStr">
        <is>
          <t>low</t>
        </is>
      </c>
      <c r="T98" s="2" t="inlineStr">
        <is>
          <t>Offloading cognition to spatial arrangement.</t>
        </is>
      </c>
      <c r="U98" s="2" t="inlineStr">
        <is>
          <t>[to chart]</t>
        </is>
      </c>
      <c r="V98" s="2" t="inlineStr">
        <is>
          <t>[to chart]</t>
        </is>
      </c>
      <c r="W98" s="2" t="inlineStr">
        <is>
          <t>[to chart]</t>
        </is>
      </c>
      <c r="X98" s="2" t="inlineStr">
        <is>
          <t>partial</t>
        </is>
      </c>
      <c r="Y98" s="2" t="inlineStr">
        <is>
          <t>partial</t>
        </is>
      </c>
      <c r="Z98" s="2" t="inlineStr">
        <is>
          <t>Environmental offloading design.</t>
        </is>
      </c>
      <c r="AA98" s="2" t="inlineStr">
        <is>
          <t>Space as cognitive aid.</t>
        </is>
      </c>
      <c r="AC98" s="2" t="inlineStr">
        <is>
          <t>Digital Capture Architecture</t>
        </is>
      </c>
      <c r="AE98" s="2" t="inlineStr">
        <is>
          <t>General supporting source</t>
        </is>
      </c>
      <c r="AF98" s="2" t="inlineStr">
        <is>
          <t>36 months</t>
        </is>
      </c>
      <c r="AG98" s="2" t="inlineStr">
        <is>
          <t>2026-08-13</t>
        </is>
      </c>
      <c r="AH98" s="2" t="inlineStr">
        <is>
          <t>2029-08-13</t>
        </is>
      </c>
      <c r="AI98" s="2" t="inlineStr">
        <is>
          <t>Current - re-search on schedule</t>
        </is>
      </c>
    </row>
    <row r="99">
      <c r="A99" s="2" t="inlineStr">
        <is>
          <t>A7-09</t>
        </is>
      </c>
      <c r="B99" s="2" t="inlineStr">
        <is>
          <t>Oulasvirta — offloading and interface design</t>
        </is>
      </c>
      <c r="C99" s="2" t="inlineStr">
        <is>
          <t>https://research.aalto.fi/files/42021453/Oulasvirta_Combinatorial_optimization_of_Graphical_user_interface.pdf</t>
        </is>
      </c>
      <c r="D99" s="2" t="inlineStr">
        <is>
          <t>https://www.aalto.fi/en/people/antti-oulasvirta</t>
        </is>
      </c>
      <c r="E99" t="inlineStr">
        <is>
          <t>Open related PDF / author profile</t>
        </is>
      </c>
      <c r="F99" s="2" t="inlineStr">
        <is>
          <t>Located - corrective source needed</t>
        </is>
      </c>
      <c r="G99" s="2" t="inlineStr">
        <is>
          <t>Exact row label is vague and may need replacement; accessible Oulasvirta UI-design source recorded as provisional offloading/interface-design anchor.</t>
        </is>
      </c>
      <c r="H99" s="2" t="inlineStr">
        <is>
          <t>Oulasvirta — offloading and interface design pdf DOI readable source</t>
        </is>
      </c>
      <c r="I99" s="4" t="inlineStr">
        <is>
          <t>https://www.google.com/search?q=Oulasvirta+%E2%80%94+offloading+and+interface+design+pdf+DOI+readable+source</t>
        </is>
      </c>
      <c r="J99" s="2" t="inlineStr">
        <is>
          <t>2026-08-13</t>
        </is>
      </c>
      <c r="K99" s="2" t="inlineStr">
        <is>
          <t>Pending</t>
        </is>
      </c>
      <c r="L99" s="2" t="n">
        <v>7</v>
      </c>
      <c r="M99" s="2" t="inlineStr">
        <is>
          <t>WS-H</t>
        </is>
      </c>
      <c r="N99" s="2" t="inlineStr">
        <is>
          <t>B</t>
        </is>
      </c>
      <c r="O99" s="2" t="inlineStr">
        <is>
          <t>DESIGN</t>
        </is>
      </c>
      <c r="P99" s="2" t="inlineStr">
        <is>
          <t>theoretical</t>
        </is>
      </c>
      <c r="Q99" s="2" t="inlineStr">
        <is>
          <t>HCI</t>
        </is>
      </c>
      <c r="R99" s="2" t="inlineStr">
        <is>
          <t>conceptual</t>
        </is>
      </c>
      <c r="S99" s="2" t="inlineStr">
        <is>
          <t>low</t>
        </is>
      </c>
      <c r="T99" s="2" t="inlineStr">
        <is>
          <t>Interface-level offloading considerations.</t>
        </is>
      </c>
      <c r="U99" s="2" t="inlineStr">
        <is>
          <t>[to chart]</t>
        </is>
      </c>
      <c r="V99" s="2" t="inlineStr">
        <is>
          <t>[to chart]</t>
        </is>
      </c>
      <c r="W99" s="2" t="inlineStr">
        <is>
          <t>[to chart]</t>
        </is>
      </c>
      <c r="X99" s="2" t="inlineStr">
        <is>
          <t>partial</t>
        </is>
      </c>
      <c r="Y99" s="2" t="inlineStr">
        <is>
          <t>partial</t>
        </is>
      </c>
      <c r="Z99" s="2" t="inlineStr">
        <is>
          <t>Interface offloading tradeoffs.</t>
        </is>
      </c>
      <c r="AA99" s="2" t="inlineStr">
        <is>
          <t>Design mediates offloading.</t>
        </is>
      </c>
      <c r="AC99" s="2" t="inlineStr">
        <is>
          <t>Digital Capture Architecture</t>
        </is>
      </c>
      <c r="AE99" s="2" t="inlineStr">
        <is>
          <t>Empirical / applied research</t>
        </is>
      </c>
      <c r="AF99" s="2" t="inlineStr">
        <is>
          <t>24 months</t>
        </is>
      </c>
      <c r="AG99" s="2" t="inlineStr">
        <is>
          <t>2026-08-13</t>
        </is>
      </c>
      <c r="AH99" s="2" t="inlineStr">
        <is>
          <t>2028-08-13</t>
        </is>
      </c>
      <c r="AI99" s="2" t="inlineStr">
        <is>
          <t>Current - located, access/fit caveat</t>
        </is>
      </c>
    </row>
    <row r="100">
      <c r="A100" s="2" t="inlineStr">
        <is>
          <t>A7-10</t>
        </is>
      </c>
      <c r="B100" s="2" t="inlineStr">
        <is>
          <t>Recent GenAI &amp; perceived self-regulated learning (empirical)</t>
        </is>
      </c>
      <c r="C100" s="2" t="inlineStr">
        <is>
          <t>https://www.nature.com/articles/s41599-026-07924-3.pdf</t>
        </is>
      </c>
      <c r="D100" s="2" t="inlineStr">
        <is>
          <t>https://arxiv.org/pdf/2606.08568</t>
        </is>
      </c>
      <c r="E100" t="inlineStr">
        <is>
          <t>Open article PDF / arXiv preprint</t>
        </is>
      </c>
      <c r="F100" s="2" t="inlineStr">
        <is>
          <t>Located - readable source</t>
        </is>
      </c>
      <c r="G100" s="2" t="inlineStr">
        <is>
          <t>Recent 2026 GenAI/SRL sources located; fast-moving row should be re-searched frequently.</t>
        </is>
      </c>
      <c r="H100" s="2" t="inlineStr">
        <is>
          <t>Recent GenAI &amp; perceived self-regulated learning (empirical) pdf DOI readable source</t>
        </is>
      </c>
      <c r="I100" s="4" t="inlineStr">
        <is>
          <t>https://www.google.com/search?q=Recent+GenAI+%26+perceived+self-regulated+learning+%28empirical%29+pdf+DOI+readable+source</t>
        </is>
      </c>
      <c r="J100" s="2" t="inlineStr">
        <is>
          <t>2026-08-13</t>
        </is>
      </c>
      <c r="K100" s="2" t="inlineStr">
        <is>
          <t>Pending</t>
        </is>
      </c>
      <c r="L100" s="2" t="n">
        <v>7</v>
      </c>
      <c r="M100" s="2" t="inlineStr">
        <is>
          <t>WS-H</t>
        </is>
      </c>
      <c r="N100" s="2" t="inlineStr">
        <is>
          <t>B</t>
        </is>
      </c>
      <c r="O100" s="2" t="inlineStr">
        <is>
          <t>EMPIRICAL/WARNING</t>
        </is>
      </c>
      <c r="P100" s="2" t="inlineStr">
        <is>
          <t>empirical</t>
        </is>
      </c>
      <c r="Q100" s="2" t="inlineStr">
        <is>
          <t>education/AI</t>
        </is>
      </c>
      <c r="R100" s="2" t="inlineStr">
        <is>
          <t>contested</t>
        </is>
      </c>
      <c r="S100" s="2" t="inlineStr">
        <is>
          <t>medium</t>
        </is>
      </c>
      <c r="T100" s="2" t="inlineStr">
        <is>
          <t>GenAI tool use associated with shifts in self-regulated learning.</t>
        </is>
      </c>
      <c r="U100" s="2" t="inlineStr">
        <is>
          <t>[to chart]</t>
        </is>
      </c>
      <c r="V100" s="2" t="inlineStr">
        <is>
          <t>[to chart]</t>
        </is>
      </c>
      <c r="W100" s="2" t="inlineStr">
        <is>
          <t>[to chart]</t>
        </is>
      </c>
      <c r="X100" s="2" t="inlineStr">
        <is>
          <t>partial</t>
        </is>
      </c>
      <c r="Y100" s="2" t="inlineStr">
        <is>
          <t>yes</t>
        </is>
      </c>
      <c r="Z100" s="2" t="inlineStr">
        <is>
          <t>Fast-moving; re-search each cycle.</t>
        </is>
      </c>
      <c r="AA100" s="2" t="inlineStr">
        <is>
          <t>Watch for dependency signals.</t>
        </is>
      </c>
      <c r="AB100" s="2" t="inlineStr">
        <is>
          <t>CF-3</t>
        </is>
      </c>
      <c r="AC100" s="2" t="inlineStr">
        <is>
          <t>AI Assistant Use Rules</t>
        </is>
      </c>
      <c r="AD100" s="2" t="inlineStr">
        <is>
          <t>OC-13</t>
        </is>
      </c>
      <c r="AE100" s="2" t="inlineStr">
        <is>
          <t>Fast-moving digital/AI/work trend</t>
        </is>
      </c>
      <c r="AF100" s="2" t="inlineStr">
        <is>
          <t>6 months</t>
        </is>
      </c>
      <c r="AG100" s="2" t="inlineStr">
        <is>
          <t>2026-08-13</t>
        </is>
      </c>
      <c r="AH100" s="2" t="inlineStr">
        <is>
          <t>2027-02-13</t>
        </is>
      </c>
      <c r="AI100" s="2" t="inlineStr">
        <is>
          <t>Current - re-search on schedule</t>
        </is>
      </c>
    </row>
    <row r="101">
      <c r="A101" s="2" t="inlineStr">
        <is>
          <t>A8-01</t>
        </is>
      </c>
      <c r="B101" s="2" t="inlineStr">
        <is>
          <t>Hobson, Schroeder, Risen, Xygalatas &amp; Inzlicht — Psychology of Rituals</t>
        </is>
      </c>
      <c r="C101" s="7" t="inlineStr">
        <is>
          <t>https://escholarship.org/uc/item/88p7357w</t>
        </is>
      </c>
      <c r="D101" s="7" t="inlineStr">
        <is>
          <t>https://doi.org/10.1177/1088868317734944</t>
        </is>
      </c>
      <c r="E101" s="6" t="inlineStr">
        <is>
          <t>Open repository / DOI landing</t>
        </is>
      </c>
      <c r="F101" s="7" t="inlineStr">
        <is>
          <t>Located - readable source</t>
        </is>
      </c>
      <c r="G101" s="2" t="inlineStr">
        <is>
          <t>UC eScholarship and DOI landing located. CHARTED 2026-08-14 batch 5a (Area 8 ritual/symbolic practice; collapsed QC + Phenomenologist). ABSTRACT ONLY — full text needed for upgrade.</t>
        </is>
      </c>
      <c r="H101" s="2" t="inlineStr">
        <is>
          <t>Hobson, Schroeder, Risen, Xygalatas &amp; Inzlicht — Psychology of Rituals pdf DOI readable source</t>
        </is>
      </c>
      <c r="I101" s="4" t="inlineStr">
        <is>
          <t>https://www.google.com/search?q=Hobson%2C+Schroeder%2C+Risen%2C+Xygalatas+%26+Inzlicht+%E2%80%94+Psychology+of+Rituals+pdf+DOI+readable+source</t>
        </is>
      </c>
      <c r="J101" s="7" t="inlineStr">
        <is>
          <t>2026-08-13</t>
        </is>
      </c>
      <c r="K101" s="7" t="inlineStr">
        <is>
          <t>Charted - 2026-08-14</t>
        </is>
      </c>
      <c r="L101" s="2" t="n">
        <v>8</v>
      </c>
      <c r="M101" s="2" t="inlineStr">
        <is>
          <t>WS-C</t>
        </is>
      </c>
      <c r="N101" s="2" t="inlineStr">
        <is>
          <t>A</t>
        </is>
      </c>
      <c r="O101" s="2" t="inlineStr">
        <is>
          <t>REVIEW/MECHANISM/DESIGN</t>
        </is>
      </c>
      <c r="P101" s="2" t="inlineStr">
        <is>
          <t>review</t>
        </is>
      </c>
      <c r="Q101" s="2" t="inlineStr">
        <is>
          <t>psychology</t>
        </is>
      </c>
      <c r="R101" s="2" t="inlineStr">
        <is>
          <t>conceptual</t>
        </is>
      </c>
      <c r="S101" s="2" t="inlineStr">
        <is>
          <t>high</t>
        </is>
      </c>
      <c r="T101" s="2" t="inlineStr">
        <is>
          <t>Rituals regulate emotion, performance goal-states, and social connection. A PRISMA-compliant review of ritual research distinguishes individual from group rituals and their effects on emotional regulation, goal-directed behavior, and social bonding. Rituals are proposed as adaptive regulatory mechanisms — they help individuals and groups manage uncertainty, coordinate collective action, and signal commitment.</t>
        </is>
      </c>
      <c r="U101" s="2" t="inlineStr">
        <is>
          <t>not_quantifiable (review, abstract-level only). Strength = high as the REVIEW/MECHANISM/DESIGN row — the ritual-as-regulatory-mechanism thesis is the warrant for the Ritual Transition Cards (construct-role claim, abstract-level caveat).</t>
        </is>
      </c>
      <c r="V101" s="2" t="inlineStr">
        <is>
          <t>Abstract/synopsis only — full text not in front of me. The review framework is proposed but the specific findings (effect sizes, boundary conditions) are not in front of me. Flagged as verification debt.</t>
        </is>
      </c>
      <c r="W101" s="2" t="inlineStr">
        <is>
          <t>If rituals do NOT regulate emotion or performance (if the effects are placebo, demand, or confounded), the whole ritual-as-regulatory-mechanism thesis collapses.</t>
        </is>
      </c>
      <c r="X101" s="2" t="inlineStr">
        <is>
          <t>partial</t>
        </is>
      </c>
      <c r="Y101" s="2" t="inlineStr">
        <is>
          <t>yes</t>
        </is>
      </c>
      <c r="Z101" s="2" t="inlineStr">
        <is>
          <t>Build transition/closure/entry rituals. The tool must include ritual structures (transition, closure, entry, return) that regulate the user's emotional and goal-directed state. The Ritual Transition Cards are the artifact.</t>
        </is>
      </c>
      <c r="AA101" s="2" t="inlineStr">
        <is>
          <t>Ritual as regulatory structure. The cosmotechnic audit must include the ritual dimension — the symbolic-technical practices that structure transitions and returns.</t>
        </is>
      </c>
      <c r="AB101" s="2" t="inlineStr">
        <is>
          <t>CF-7</t>
        </is>
      </c>
      <c r="AC101" s="2" t="inlineStr">
        <is>
          <t>Ritual Transition Cards</t>
        </is>
      </c>
      <c r="AE101" s="2" t="inlineStr">
        <is>
          <t>Empirical / applied research</t>
        </is>
      </c>
      <c r="AF101" s="2" t="inlineStr">
        <is>
          <t>24 months</t>
        </is>
      </c>
      <c r="AG101" s="2" t="inlineStr">
        <is>
          <t>2026-08-13</t>
        </is>
      </c>
      <c r="AH101" s="2" t="inlineStr">
        <is>
          <t>2028-08-13</t>
        </is>
      </c>
      <c r="AI101" s="2" t="inlineStr">
        <is>
          <t>Current - re-search on schedule</t>
        </is>
      </c>
    </row>
    <row r="102">
      <c r="A102" s="2" t="inlineStr">
        <is>
          <t>A8-02</t>
        </is>
      </c>
      <c r="B102" s="2" t="inlineStr">
        <is>
          <t>Norton &amp; Gino — Rituals Alleviate Grieving</t>
        </is>
      </c>
      <c r="C102" s="7" t="inlineStr">
        <is>
          <t>https://www.hbs.edu/ris/Publication%20Files/norton%20gino%202014_e44eb177-f8f4-4f0d-a458-625c1268b391.pdf</t>
        </is>
      </c>
      <c r="D102" s="7" t="inlineStr">
        <is>
          <t>https://doi.org/10.1037/a0031772</t>
        </is>
      </c>
      <c r="E102" s="6" t="inlineStr">
        <is>
          <t>Open PDF (HBS) / DOI landing</t>
        </is>
      </c>
      <c r="F102" s="7" t="inlineStr">
        <is>
          <t>Located - readable source</t>
        </is>
      </c>
      <c r="G102" s="2" t="inlineStr">
        <is>
          <t>Open HBS PDF located. CHARTED 2026-08-14 batch 5a (Area 8 ritual/symbolic practice; collapsed QC + Phenomenologist). Full text read (JPSP 2013).</t>
        </is>
      </c>
      <c r="H102" s="2" t="inlineStr">
        <is>
          <t>Norton &amp; Gino — Rituals Alleviate Grieving pdf DOI readable source</t>
        </is>
      </c>
      <c r="I102" s="4" t="inlineStr">
        <is>
          <t>https://www.google.com/search?q=Norton+%26+Gino+%E2%80%94+Rituals+Alleviate+Grieving+pdf+DOI+readable+source</t>
        </is>
      </c>
      <c r="J102" s="7" t="inlineStr">
        <is>
          <t>2026-08-13</t>
        </is>
      </c>
      <c r="K102" s="7" t="inlineStr">
        <is>
          <t>Charted - 2026-08-14</t>
        </is>
      </c>
      <c r="L102" s="2" t="n">
        <v>8</v>
      </c>
      <c r="M102" s="2" t="inlineStr">
        <is>
          <t>WS-C</t>
        </is>
      </c>
      <c r="N102" s="2" t="inlineStr">
        <is>
          <t>A</t>
        </is>
      </c>
      <c r="O102" s="2" t="inlineStr">
        <is>
          <t>EMPIRICAL/MECHANISM</t>
        </is>
      </c>
      <c r="P102" s="2" t="inlineStr">
        <is>
          <t>empirical</t>
        </is>
      </c>
      <c r="Q102" s="2" t="inlineStr">
        <is>
          <t>psychology</t>
        </is>
      </c>
      <c r="R102" s="2" t="inlineStr">
        <is>
          <t>causal</t>
        </is>
      </c>
      <c r="S102" s="2" t="inlineStr">
        <is>
          <t>high</t>
        </is>
      </c>
      <c r="T102" s="2" t="inlineStr">
        <is>
          <t>Rituals reduce grief via increased sense of control, even without belief. Participants who were directed to reflect on past rituals or who were assigned to complete novel rituals after experiencing losses reported lower levels of grief. Increased feelings of control after rituals mediated the link between use of rituals and reduced grief after losses, and the benefits of rituals accrued not only to individuals who professed a belief in rituals' effectiveness but also to those who did not. The specific rituals in which people engage after losses vary widely by culture and religion — and among participants — but the common psychological mechanism is regained feelings of control.</t>
        </is>
      </c>
      <c r="U102" s="2" t="inlineStr">
        <is>
          <t>causal (lab-bounded, experimental). Strength = high as the EMPIRICAL/MECHANISM row — the control-restoration mechanism is the explicit warrant for the Ritual Transition Cards' regulatory function (construct-role claim).</t>
        </is>
      </c>
      <c r="V102" s="2" t="inlineStr">
        <is>
          <t>Lab-bounded experimental studies — the losses studied (death of loved ones, end of relationships, lottery losses) are recalled, not induced. The sample is US university students — generalizability to other cultures and populations is uncertain. The mechanism (control restoration) is proposed but the specific ritual features that produce it are not fully specified.</t>
        </is>
      </c>
      <c r="W102" s="2" t="inlineStr">
        <is>
          <t>If rituals do NOT increase feelings of control (if the mechanism is something else — e.g., social support, cognitive reframing, mere distraction), the control-restoration thesis is wrong and the design implications need revision.</t>
        </is>
      </c>
      <c r="X102" s="2" t="inlineStr">
        <is>
          <t>partial</t>
        </is>
      </c>
      <c r="Y102" s="2" t="inlineStr">
        <is>
          <t>partial</t>
        </is>
      </c>
      <c r="Z102" s="2" t="inlineStr">
        <is>
          <t>Ritual for loss/interruption/closure/return. The tool must include ritual structures that restore the user's sense of control during transitions, interruptions, and losses. The Ritual Transition Cards are the artifact. The ritual need not be religious or belief-dependent — the mechanism is control restoration, not faith.</t>
        </is>
      </c>
      <c r="AA102" s="2" t="inlineStr">
        <is>
          <t>Control through symbolic action. The cosmotechnic audit must include the ritual dimension — the symbolic-technical practices that restore the user's sense of control during disruption.</t>
        </is>
      </c>
      <c r="AB102" s="2" t="inlineStr">
        <is>
          <t>CF-7</t>
        </is>
      </c>
      <c r="AC102" s="2" t="inlineStr">
        <is>
          <t>Ritual Transition Cards</t>
        </is>
      </c>
      <c r="AE102" s="2" t="inlineStr">
        <is>
          <t>Empirical / applied research</t>
        </is>
      </c>
      <c r="AF102" s="2" t="inlineStr">
        <is>
          <t>24 months</t>
        </is>
      </c>
      <c r="AG102" s="2" t="inlineStr">
        <is>
          <t>2026-08-13</t>
        </is>
      </c>
      <c r="AH102" s="2" t="inlineStr">
        <is>
          <t>2028-08-13</t>
        </is>
      </c>
      <c r="AI102" s="2" t="inlineStr">
        <is>
          <t>Current - re-search on schedule</t>
        </is>
      </c>
    </row>
    <row r="103">
      <c r="A103" s="2" t="inlineStr">
        <is>
          <t>A8-03</t>
        </is>
      </c>
      <c r="B103" s="2" t="inlineStr">
        <is>
          <t>Van Gennep — The Rites of Passage</t>
        </is>
      </c>
      <c r="C103" s="7" t="inlineStr">
        <is>
          <t>https://archive.org/details/ritesofpassage00genn</t>
        </is>
      </c>
      <c r="D103" s="7" t="inlineStr">
        <is>
          <t>https://press.uchicago.edu/ucp/books/book/chicago/R/bo5965597.html</t>
        </is>
      </c>
      <c r="E103" s="6" t="inlineStr">
        <is>
          <t>Archive.org lending-only</t>
        </is>
      </c>
      <c r="F103" s="7" t="inlineStr">
        <is>
          <t>Located - restricted readable</t>
        </is>
      </c>
      <c r="G103" s="2" t="inlineStr">
        <is>
          <t>Archive lending and publisher page located. CHARTED 2026-08-14 batch 5c (Area 8 ritual/symbolic practice; collapsed QC + Phenomenologist). ABSTRACT ONLY — lending-only.</t>
        </is>
      </c>
      <c r="H103" s="2" t="inlineStr">
        <is>
          <t>Van Gennep — The Rites of Passage pdf DOI readable source</t>
        </is>
      </c>
      <c r="I103" s="4" t="inlineStr">
        <is>
          <t>https://www.google.com/search?q=Van+Gennep+%E2%80%94+The+Rites+of+Passage+pdf+DOI+readable+source</t>
        </is>
      </c>
      <c r="J103" s="7" t="inlineStr">
        <is>
          <t>2026-08-13</t>
        </is>
      </c>
      <c r="K103" s="7" t="inlineStr">
        <is>
          <t>Charted - 2026-08-14</t>
        </is>
      </c>
      <c r="L103" s="2" t="n">
        <v>8</v>
      </c>
      <c r="M103" s="2" t="inlineStr">
        <is>
          <t>WS-E</t>
        </is>
      </c>
      <c r="N103" s="2" t="inlineStr">
        <is>
          <t>A</t>
        </is>
      </c>
      <c r="O103" s="2" t="inlineStr">
        <is>
          <t>TELOS/STRUCTURE</t>
        </is>
      </c>
      <c r="P103" s="2" t="inlineStr">
        <is>
          <t>theoretical</t>
        </is>
      </c>
      <c r="Q103" s="2" t="inlineStr">
        <is>
          <t>anthropology</t>
        </is>
      </c>
      <c r="R103" s="2" t="inlineStr">
        <is>
          <t>conceptual</t>
        </is>
      </c>
      <c r="S103" s="2" t="inlineStr">
        <is>
          <t>medium</t>
        </is>
      </c>
      <c r="T103" s="2" t="inlineStr">
        <is>
          <t>Separation, liminality, incorporation — the three-phase structure of rites of passage. The book is the foundational anthropological account of how rituals structure transitions: from one state to another, through a threshold (liminal) phase.</t>
        </is>
      </c>
      <c r="U103" s="2" t="inlineStr">
        <is>
          <t>not_quantifiable (theoretical, abstract-level only). Strength = high as the TELOS/STRUCTURE row — the three-phase schema is the explicit warrant for the Arousal/Flow/Task-Switching Layer's transition design (construct-role claim, abstract-level caveat).</t>
        </is>
      </c>
      <c r="V103" s="2" t="inlineStr">
        <is>
          <t>Abstract/synopsis only — full text lending-only. Flagged as verification debt.</t>
        </is>
      </c>
      <c r="W103" s="2" t="inlineStr">
        <is>
          <t>If transitions are NOT structured by separation-liminality-incorporation (if this is a Western anthropological projection), the design schema fails.</t>
        </is>
      </c>
      <c r="X103" s="2" t="inlineStr">
        <is>
          <t>no</t>
        </is>
      </c>
      <c r="Y103" s="2" t="inlineStr">
        <is>
          <t>yes</t>
        </is>
      </c>
      <c r="Z103" s="2" t="inlineStr">
        <is>
          <t>Task-switching vestibules; transition design. The tool must include explicit transition structures (separation from previous state, liminal phase, incorporation into new state).</t>
        </is>
      </c>
      <c r="AA103" s="2" t="inlineStr">
        <is>
          <t>Thresholds structure change. The cosmotechnic audit must include the ritual dimension — the thresholds the user crosses.</t>
        </is>
      </c>
      <c r="AB103" s="2" t="inlineStr">
        <is>
          <t>CF-7</t>
        </is>
      </c>
      <c r="AC103" s="2" t="inlineStr">
        <is>
          <t>Arousal/Flow/Task-Switching Layer</t>
        </is>
      </c>
      <c r="AE103" s="2" t="inlineStr">
        <is>
          <t>Philosophical / historical / theoretical</t>
        </is>
      </c>
      <c r="AF103" s="2" t="inlineStr">
        <is>
          <t>60 months</t>
        </is>
      </c>
      <c r="AG103" s="2" t="inlineStr">
        <is>
          <t>2026-08-13</t>
        </is>
      </c>
      <c r="AH103" s="2" t="inlineStr">
        <is>
          <t>2031-08-13</t>
        </is>
      </c>
      <c r="AI103" s="2" t="inlineStr">
        <is>
          <t>Current - located, access/fit caveat</t>
        </is>
      </c>
    </row>
    <row r="104">
      <c r="A104" s="2" t="inlineStr">
        <is>
          <t>A8-04</t>
        </is>
      </c>
      <c r="B104" s="2" t="inlineStr">
        <is>
          <t>Turner — The Ritual Process</t>
        </is>
      </c>
      <c r="C104" s="7" t="inlineStr">
        <is>
          <t>https://monoskop.org/images/9/90/Turner_Victor_The_Ritual_Process_Structure_and_Anti-Structure.pdf</t>
        </is>
      </c>
      <c r="D104" s="7" t="inlineStr">
        <is>
          <t>https://archive.org/details/ritualprocess0000unse</t>
        </is>
      </c>
      <c r="E104" s="6" t="inlineStr">
        <is>
          <t>Archive.org lending-only</t>
        </is>
      </c>
      <c r="F104" s="7" t="inlineStr">
        <is>
          <t>Located - readable source</t>
        </is>
      </c>
      <c r="G104" s="2" t="inlineStr">
        <is>
          <t>Readable PDF and archive landing located. CHARTED 2026-08-14 batch 5c (Area 8 ritual/symbolic practice; collapsed QC + Phenomenologist). ABSTRACT ONLY — lending-only.</t>
        </is>
      </c>
      <c r="H104" s="2" t="inlineStr">
        <is>
          <t>Turner — The Ritual Process pdf DOI readable source</t>
        </is>
      </c>
      <c r="I104" s="4" t="inlineStr">
        <is>
          <t>https://www.google.com/search?q=Turner+%E2%80%94+The+Ritual+Process+pdf+DOI+readable+source</t>
        </is>
      </c>
      <c r="J104" s="7" t="inlineStr">
        <is>
          <t>2026-08-13</t>
        </is>
      </c>
      <c r="K104" s="7" t="inlineStr">
        <is>
          <t>Charted - 2026-08-14</t>
        </is>
      </c>
      <c r="L104" s="2" t="n">
        <v>8</v>
      </c>
      <c r="M104" s="2" t="inlineStr">
        <is>
          <t>WS-E</t>
        </is>
      </c>
      <c r="N104" s="2" t="inlineStr">
        <is>
          <t>A</t>
        </is>
      </c>
      <c r="O104" s="2" t="inlineStr">
        <is>
          <t>TELOS/STRUCTURE</t>
        </is>
      </c>
      <c r="P104" s="2" t="inlineStr">
        <is>
          <t>theoretical</t>
        </is>
      </c>
      <c r="Q104" s="2" t="inlineStr">
        <is>
          <t>anthropology</t>
        </is>
      </c>
      <c r="R104" s="2" t="inlineStr">
        <is>
          <t>conceptual</t>
        </is>
      </c>
      <c r="S104" s="2" t="inlineStr">
        <is>
          <t>medium</t>
        </is>
      </c>
      <c r="T104" s="2" t="inlineStr">
        <is>
          <t>Liminality and communitas — the ritual process creates anti-structure (communitas) within structure. Liminal phases are betwixt and between, characterized by humility, seclusion, sexual ambiguity, and communitas (community of equals). The ritual process is the mechanism by which societies manage transitions and maintain social cohesion.</t>
        </is>
      </c>
      <c r="U104" s="2" t="inlineStr">
        <is>
          <t>not_quantifiable (theoretical, abstract-level only). Strength = high as the TELOS/STRUCTURE row — the liminality/communitas thesis is the warrant for the Ritual Transition Cards' threshold design (construct-role claim, abstract-level caveat).</t>
        </is>
      </c>
      <c r="V104" s="2" t="inlineStr">
        <is>
          <t>Abstract/synopsis only — full text lending-only. Flagged as verification debt.</t>
        </is>
      </c>
      <c r="W104" s="2" t="inlineStr">
        <is>
          <t>If liminality does NOT produce communitas (if threshold experiences are isolating rather than bonding), the design implications fail.</t>
        </is>
      </c>
      <c r="X104" s="2" t="inlineStr">
        <is>
          <t>no</t>
        </is>
      </c>
      <c r="Y104" s="2" t="inlineStr">
        <is>
          <t>partial</t>
        </is>
      </c>
      <c r="Z104" s="2" t="inlineStr">
        <is>
          <t>Transition states and thresholds. The tool must include liminal design — the 'betwixt and between' phase of a task switch or state change.</t>
        </is>
      </c>
      <c r="AA104" s="2" t="inlineStr">
        <is>
          <t>Liminal design. The cosmotechnic audit must include the liminal dimension — the thresholds and anti-structures the user experiences.</t>
        </is>
      </c>
      <c r="AB104" s="2" t="inlineStr">
        <is>
          <t>CF-7</t>
        </is>
      </c>
      <c r="AC104" s="2" t="inlineStr">
        <is>
          <t>Ritual Transition Cards</t>
        </is>
      </c>
      <c r="AE104" s="2" t="inlineStr">
        <is>
          <t>Philosophical / historical / theoretical</t>
        </is>
      </c>
      <c r="AF104" s="2" t="inlineStr">
        <is>
          <t>60 months</t>
        </is>
      </c>
      <c r="AG104" s="2" t="inlineStr">
        <is>
          <t>2026-08-13</t>
        </is>
      </c>
      <c r="AH104" s="2" t="inlineStr">
        <is>
          <t>2031-08-13</t>
        </is>
      </c>
      <c r="AI104" s="2" t="inlineStr">
        <is>
          <t>Current - re-search on schedule</t>
        </is>
      </c>
    </row>
    <row r="105">
      <c r="A105" s="2" t="inlineStr">
        <is>
          <t>A8-05</t>
        </is>
      </c>
      <c r="B105" s="2" t="inlineStr">
        <is>
          <t>Bell — Ritual Theory, Ritual Practice</t>
        </is>
      </c>
      <c r="C105" s="7" t="inlineStr">
        <is>
          <t>https://web.vu.lt/rstc/a.pazeraite/files/2014/09/Catherine-Bell-Ritual-Theory-Ritual-Practice-Oxford-University-Press-USA-2009.pdf</t>
        </is>
      </c>
      <c r="D105" s="7" t="inlineStr">
        <is>
          <t>https://archive.org/details/ritualtheoryritu0000bell</t>
        </is>
      </c>
      <c r="E105" s="6" t="inlineStr">
        <is>
          <t>Archive.org PDF mirror (timed out)</t>
        </is>
      </c>
      <c r="F105" s="7" t="inlineStr">
        <is>
          <t>Located - readable source</t>
        </is>
      </c>
      <c r="G105" s="2" t="inlineStr">
        <is>
          <t>Readable PDF and archive lending page located. CHARTED 2026-08-14 batch 5c (Area 8 ritual/symbolic practice; collapsed QC + Phenomenologist). ABSTRACT ONLY — timed out.</t>
        </is>
      </c>
      <c r="H105" s="2" t="inlineStr">
        <is>
          <t>Bell — Ritual Theory, Ritual Practice pdf DOI readable source</t>
        </is>
      </c>
      <c r="I105" s="4" t="inlineStr">
        <is>
          <t>https://www.google.com/search?q=Bell+%E2%80%94+Ritual+Theory%2C+Ritual+Practice+pdf+DOI+readable+source</t>
        </is>
      </c>
      <c r="J105" s="7" t="inlineStr">
        <is>
          <t>2026-08-13</t>
        </is>
      </c>
      <c r="K105" s="7" t="inlineStr">
        <is>
          <t>Charted - 2026-08-14</t>
        </is>
      </c>
      <c r="L105" s="2" t="n">
        <v>8</v>
      </c>
      <c r="M105" s="2" t="inlineStr">
        <is>
          <t>WS-L</t>
        </is>
      </c>
      <c r="N105" s="2" t="inlineStr">
        <is>
          <t>A</t>
        </is>
      </c>
      <c r="O105" s="2" t="inlineStr">
        <is>
          <t>CRITIQUE/TELOS</t>
        </is>
      </c>
      <c r="P105" s="2" t="inlineStr">
        <is>
          <t>theoretical</t>
        </is>
      </c>
      <c r="Q105" s="2" t="inlineStr">
        <is>
          <t>religious studies</t>
        </is>
      </c>
      <c r="R105" s="2" t="inlineStr">
        <is>
          <t>conceptual</t>
        </is>
      </c>
      <c r="S105" s="2" t="inlineStr">
        <is>
          <t>medium</t>
        </is>
      </c>
      <c r="T105" s="2" t="inlineStr">
        <is>
          <t>Ritualization as a strategic way of acting. Bell critiques traditional ritual theory (Durkheim, Turner, Van Gennep) and argues that ritual is not a separate category of action but a strategic, embodied way of acting that produces and reproduces power relations. Ritual is not innocent — it is political.</t>
        </is>
      </c>
      <c r="U105" s="2" t="inlineStr">
        <is>
          <t>not_quantifiable (theoretical, abstract-level only). Strength = high as the CRITIQUE/TELOS row — the strategic-ritualization thesis is the warrant for avoiding naive ritual design (construct-role claim, abstract-level caveat).</t>
        </is>
      </c>
      <c r="V105" s="2" t="inlineStr">
        <is>
          <t>Abstract/synopsis only — full text timed out. Flagged as verification debt.</t>
        </is>
      </c>
      <c r="W105" s="2" t="inlineStr">
        <is>
          <t>If ritual is NOT strategic/political (if it is genuinely innocent or transcendent), Bell's critique is overstated.</t>
        </is>
      </c>
      <c r="X105" s="2" t="inlineStr">
        <is>
          <t>no</t>
        </is>
      </c>
      <c r="Y105" s="2" t="inlineStr">
        <is>
          <t>yes</t>
        </is>
      </c>
      <c r="Z105" s="2" t="inlineStr">
        <is>
          <t>Avoid naive ritual design. The tool must not include ritual structures as mere decoration — ritual is strategic and political, and the design must be aware of this.</t>
        </is>
      </c>
      <c r="AA105" s="2" t="inlineStr">
        <is>
          <t>Ritual is strategic, not decorative. The cosmotechnic audit must ask: what power relations does this ritual structure produce or reproduce?</t>
        </is>
      </c>
      <c r="AB105" s="2" t="inlineStr">
        <is>
          <t>CF-7</t>
        </is>
      </c>
      <c r="AC105" s="2" t="inlineStr">
        <is>
          <t>Ritual Transition Cards</t>
        </is>
      </c>
      <c r="AE105" s="2" t="inlineStr">
        <is>
          <t>Philosophical / historical / theoretical</t>
        </is>
      </c>
      <c r="AF105" s="2" t="inlineStr">
        <is>
          <t>60 months</t>
        </is>
      </c>
      <c r="AG105" s="2" t="inlineStr">
        <is>
          <t>2026-08-13</t>
        </is>
      </c>
      <c r="AH105" s="2" t="inlineStr">
        <is>
          <t>2031-08-13</t>
        </is>
      </c>
      <c r="AI105" s="2" t="inlineStr">
        <is>
          <t>Current - re-search on schedule</t>
        </is>
      </c>
    </row>
    <row r="106">
      <c r="A106" s="2" t="inlineStr">
        <is>
          <t>A8-06</t>
        </is>
      </c>
      <c r="B106" s="2" t="inlineStr">
        <is>
          <t>Xygalatas — Ritual (2022)</t>
        </is>
      </c>
      <c r="C106" s="7" t="inlineStr">
        <is>
          <t>https://www.xygalatas.com/copy-of-books</t>
        </is>
      </c>
      <c r="D106" s="7" t="inlineStr">
        <is>
          <t>https://www.littlebrown.com/titles/dimitris-xygalatas/ritual/9780316462403/</t>
        </is>
      </c>
      <c r="E106" s="6" t="inlineStr">
        <is>
          <t>Author / publisher landing only</t>
        </is>
      </c>
      <c r="F106" s="7" t="inlineStr">
        <is>
          <t>Located - source landing</t>
        </is>
      </c>
      <c r="G106" s="2" t="inlineStr">
        <is>
          <t>Author and publisher landing located; full text requires legal purchase/library access. CHARTED 2026-08-14 batch 5c (Area 8 ritual/symbolic practice; collapsed QC + Phenomenologist). ABSTRACT ONLY — full text not open.</t>
        </is>
      </c>
      <c r="H106" s="2" t="inlineStr">
        <is>
          <t>Xygalatas — Ritual (2022) pdf DOI readable source</t>
        </is>
      </c>
      <c r="I106" s="4" t="inlineStr">
        <is>
          <t>https://www.google.com/search?q=Xygalatas+%E2%80%94+Ritual+%282022%29+pdf+DOI+readable+source</t>
        </is>
      </c>
      <c r="J106" s="7" t="inlineStr">
        <is>
          <t>2026-08-13</t>
        </is>
      </c>
      <c r="K106" s="7" t="inlineStr">
        <is>
          <t>Charted - 2026-08-14</t>
        </is>
      </c>
      <c r="L106" s="2" t="n">
        <v>8</v>
      </c>
      <c r="M106" s="2" t="inlineStr">
        <is>
          <t>WS-L</t>
        </is>
      </c>
      <c r="N106" s="2" t="inlineStr">
        <is>
          <t>A</t>
        </is>
      </c>
      <c r="O106" s="2" t="inlineStr">
        <is>
          <t>REVIEW/TRANSLATION</t>
        </is>
      </c>
      <c r="P106" s="2" t="inlineStr">
        <is>
          <t>review</t>
        </is>
      </c>
      <c r="Q106" s="2" t="inlineStr">
        <is>
          <t>anthropology/psych</t>
        </is>
      </c>
      <c r="R106" s="2" t="inlineStr">
        <is>
          <t>conceptual</t>
        </is>
      </c>
      <c r="S106" s="2" t="inlineStr">
        <is>
          <t>medium</t>
        </is>
      </c>
      <c r="T106" s="2" t="inlineStr">
        <is>
          <t>Bridges anthropology, psychology, and ritual function. The book examines ritual from interdisciplinary perspectives, connecting anthropological fieldwork with psychological experimentation to understand why rituals persist across cultures.</t>
        </is>
      </c>
      <c r="U106" s="2" t="inlineStr">
        <is>
          <t>not_quantifiable (review, abstract-level only). Strength = medium as the REVIEW/TRANSLATION row — the interdisciplinary thesis is a framing resource for the Ritual Transition Cards (construct-role claim, abstract-level caveat).</t>
        </is>
      </c>
      <c r="V106" s="2" t="inlineStr">
        <is>
          <t>Abstract/synopsis only — full text not open. Flagged as verification debt.</t>
        </is>
      </c>
      <c r="W106" s="2" t="inlineStr">
        <is>
          <t>If anthropology and psychology CANNOT be bridged in ritual research (if they ask different questions), the interdisciplinary thesis is overstated.</t>
        </is>
      </c>
      <c r="X106" s="2" t="inlineStr">
        <is>
          <t>partial</t>
        </is>
      </c>
      <c r="Y106" s="2" t="inlineStr">
        <is>
          <t>partial</t>
        </is>
      </c>
      <c r="Z106" s="2" t="inlineStr">
        <is>
          <t>Symbolic-technical practice design. The tool should draw on both anthropological and psychological research on ritual.</t>
        </is>
      </c>
      <c r="AA106" s="2" t="inlineStr">
        <is>
          <t>Why 'senseless' acts matter. The cosmotechnic audit must include the ritual dimension — the symbolic practices that persist despite having no obvious function.</t>
        </is>
      </c>
      <c r="AB106" s="2" t="inlineStr">
        <is>
          <t>CF-7</t>
        </is>
      </c>
      <c r="AC106" s="2" t="inlineStr">
        <is>
          <t>Ritual Transition Cards</t>
        </is>
      </c>
      <c r="AE106" s="2" t="inlineStr">
        <is>
          <t>Empirical / applied research</t>
        </is>
      </c>
      <c r="AF106" s="2" t="inlineStr">
        <is>
          <t>24 months</t>
        </is>
      </c>
      <c r="AG106" s="2" t="inlineStr">
        <is>
          <t>2026-08-13</t>
        </is>
      </c>
      <c r="AH106" s="2" t="inlineStr">
        <is>
          <t>2028-08-13</t>
        </is>
      </c>
      <c r="AI106" s="2" t="inlineStr">
        <is>
          <t>Current - located, access/fit caveat</t>
        </is>
      </c>
    </row>
    <row r="107">
      <c r="A107" s="2" t="inlineStr">
        <is>
          <t>A8-07</t>
        </is>
      </c>
      <c r="B107" s="2" t="inlineStr">
        <is>
          <t>Tian et al. — Enacting Rituals to Improve Self-Control</t>
        </is>
      </c>
      <c r="C107" s="2" t="inlineStr">
        <is>
          <t>https://www.hbs.edu/ris/download.aspx?name=Enacting%20Rituals%20to%20Improve%20Self-Control.pdf</t>
        </is>
      </c>
      <c r="D107" s="2" t="inlineStr">
        <is>
          <t>https://doi.org/10.1037/pspa0000113</t>
        </is>
      </c>
      <c r="E107" t="inlineStr">
        <is>
          <t>Open PDF (HBS) / DOI landing</t>
        </is>
      </c>
      <c r="F107" s="2" t="inlineStr">
        <is>
          <t>Located - readable source</t>
        </is>
      </c>
      <c r="G107" s="2" t="inlineStr">
        <is>
          <t>HBS-hosted PDF and DOI located. CHARTED 2026-08-14 batch 5c (Area 8 ritual/symbolic practice; collapsed QC + Phenomenologist). Full text read (JPSP 2017).</t>
        </is>
      </c>
      <c r="H107" s="2" t="inlineStr">
        <is>
          <t>Tian et al. — Enacting Rituals to Improve Self-Control pdf DOI readable source</t>
        </is>
      </c>
      <c r="I107" s="4" t="inlineStr">
        <is>
          <t>https://www.google.com/search?q=Tian+et+al.+%E2%80%94+Enacting+Rituals+to+Improve+Self-Control+pdf+DOI+readable+source</t>
        </is>
      </c>
      <c r="J107" s="2" t="inlineStr">
        <is>
          <t>2026-08-13</t>
        </is>
      </c>
      <c r="K107" s="2" t="inlineStr">
        <is>
          <t>Charted - 2026-08-14</t>
        </is>
      </c>
      <c r="L107" s="2" t="n">
        <v>8</v>
      </c>
      <c r="M107" s="2" t="inlineStr">
        <is>
          <t>WS-C</t>
        </is>
      </c>
      <c r="N107" s="2" t="inlineStr">
        <is>
          <t>B</t>
        </is>
      </c>
      <c r="O107" s="2" t="inlineStr">
        <is>
          <t>EMPIRICAL/MECHANISM</t>
        </is>
      </c>
      <c r="P107" s="2" t="inlineStr">
        <is>
          <t>empirical</t>
        </is>
      </c>
      <c r="Q107" s="2" t="inlineStr">
        <is>
          <t>consumer psych</t>
        </is>
      </c>
      <c r="R107" s="2" t="inlineStr">
        <is>
          <t>causal</t>
        </is>
      </c>
      <c r="S107" s="2" t="inlineStr">
        <is>
          <t>medium</t>
        </is>
      </c>
      <c r="T107" s="2" t="inlineStr">
        <is>
          <t>Enacting ritualized actions can enhance subjective feelings of self-discipline, such that rituals can be harnessed to improve behavioral self-control. Six experiments show: a pre-eating ritual over 5 days reduced calorie intake; pairing a ritual with healthy eating increased healthy food choices; the effect held even when gestures were not labeled as ritual; the mechanism is heightened feelings of self-discipline. Rituals affect self-control specifically because they alter responses to self-control conflicts.</t>
        </is>
      </c>
      <c r="U107" s="2" t="inlineStr">
        <is>
          <t>causal (lab-bounded, experimental). Strength = high as the EMPIRICAL/MECHANISM row — the self-discipline mechanism is the explicit warrant for the Monstare Protocol vNext's ritual structures (construct-role claim).</t>
        </is>
      </c>
      <c r="V107" s="2" t="inlineStr">
        <is>
          <t>Lab-bounded experiments — the rituals are simple, short, and imposed. Long-term adherence and ecological validity are uncertain. The sample is US university students.</t>
        </is>
      </c>
      <c r="W107" s="2" t="inlineStr">
        <is>
          <t>If rituals do NOT increase self-discipline (if the mechanism is something else — e.g., placebo, demand), the self-control thesis fails.</t>
        </is>
      </c>
      <c r="X107" s="2" t="inlineStr">
        <is>
          <t>yes</t>
        </is>
      </c>
      <c r="Y107" s="2" t="inlineStr">
        <is>
          <t>partial</t>
        </is>
      </c>
      <c r="Z107" s="2" t="inlineStr">
        <is>
          <t>Ritual as self-regulatory structure. The tool must include ritualized sequences that enhance the user's self-discipline during self-control conflicts (e.g., task-switching, interruption recovery).</t>
        </is>
      </c>
      <c r="AA107" s="2" t="inlineStr">
        <is>
          <t>Structure aids restraint. The cosmotechnic audit must include the ritual dimension — the structured, symbolic practices that aid self-regulation.</t>
        </is>
      </c>
      <c r="AB107" s="2" t="inlineStr">
        <is>
          <t>CF-7</t>
        </is>
      </c>
      <c r="AC107" s="2" t="inlineStr">
        <is>
          <t>Monstare Protocol vNext</t>
        </is>
      </c>
      <c r="AE107" s="2" t="inlineStr">
        <is>
          <t>Empirical / applied research</t>
        </is>
      </c>
      <c r="AF107" s="2" t="inlineStr">
        <is>
          <t>24 months</t>
        </is>
      </c>
      <c r="AG107" s="2" t="inlineStr">
        <is>
          <t>2026-08-13</t>
        </is>
      </c>
      <c r="AH107" s="2" t="inlineStr">
        <is>
          <t>2028-08-13</t>
        </is>
      </c>
      <c r="AI107" s="2" t="inlineStr">
        <is>
          <t>Current - re-search on schedule</t>
        </is>
      </c>
    </row>
    <row r="108">
      <c r="A108" s="2" t="inlineStr">
        <is>
          <t>A8-08</t>
        </is>
      </c>
      <c r="B108" s="2" t="inlineStr">
        <is>
          <t>McCauley &amp; Lawson — Bringing Ritual to Mind</t>
        </is>
      </c>
      <c r="C108" s="2" t="inlineStr">
        <is>
          <t>https://archive.org/details/bringingritualto0000mcca</t>
        </is>
      </c>
      <c r="D108" s="2" t="inlineStr">
        <is>
          <t>https://www.cambridge.org/core/books/bringing-ritual-to-mind/543934EB852330BA698125F66483B72E</t>
        </is>
      </c>
      <c r="E108" t="inlineStr">
        <is>
          <t>Archive.org lending-only</t>
        </is>
      </c>
      <c r="F108" s="2" t="inlineStr">
        <is>
          <t>Located - restricted readable</t>
        </is>
      </c>
      <c r="G108" s="2" t="inlineStr">
        <is>
          <t>Archive lending and Cambridge Core landing located. CHARTED 2026-08-14 batch 5c (Area 8 ritual/symbolic practice; collapsed QC + Phenomenologist). ABSTRACT ONLY — lending-only.</t>
        </is>
      </c>
      <c r="H108" s="2" t="inlineStr">
        <is>
          <t>McCauley &amp; Lawson — Bringing Ritual to Mind pdf DOI readable source</t>
        </is>
      </c>
      <c r="I108" s="4" t="inlineStr">
        <is>
          <t>https://www.google.com/search?q=McCauley+%26+Lawson+%E2%80%94+Bringing+Ritual+to+Mind+pdf+DOI+readable+source</t>
        </is>
      </c>
      <c r="J108" s="2" t="inlineStr">
        <is>
          <t>2026-08-13</t>
        </is>
      </c>
      <c r="K108" s="2" t="inlineStr">
        <is>
          <t>Charted - 2026-08-14</t>
        </is>
      </c>
      <c r="L108" s="2" t="n">
        <v>8</v>
      </c>
      <c r="M108" s="2" t="inlineStr">
        <is>
          <t>WS-L</t>
        </is>
      </c>
      <c r="N108" s="2" t="inlineStr">
        <is>
          <t>B</t>
        </is>
      </c>
      <c r="O108" s="2" t="inlineStr">
        <is>
          <t>COGSCI/TELOS</t>
        </is>
      </c>
      <c r="P108" s="2" t="inlineStr">
        <is>
          <t>theoretical</t>
        </is>
      </c>
      <c r="Q108" s="2" t="inlineStr">
        <is>
          <t>cognitive science of religion</t>
        </is>
      </c>
      <c r="R108" s="2" t="inlineStr">
        <is>
          <t>conceptual</t>
        </is>
      </c>
      <c r="S108" s="2" t="inlineStr">
        <is>
          <t>low</t>
        </is>
      </c>
      <c r="T108" s="2" t="inlineStr">
        <is>
          <t>Ritual form, memory, and cultural transmission. The book examines how ritual forms (rigidity, repetition, redundancy) affect memory and cultural transmission. Rituals are not just social glue but cognitive technologies for transmitting knowledge across generations.</t>
        </is>
      </c>
      <c r="U108" s="2" t="inlineStr">
        <is>
          <t>not_quantifiable (theoretical, abstract-level only). Strength = low-medium as the COGSCI/TELOS row — the ritual-form thesis is a framing resource for the Construct Dictionary (construct-role claim, abstract-level caveat).</t>
        </is>
      </c>
      <c r="V108" s="2" t="inlineStr">
        <is>
          <t>Abstract/synopsis only — full text lending-only. Flagged as verification debt.</t>
        </is>
      </c>
      <c r="W108" s="2" t="inlineStr">
        <is>
          <t>If ritual form does NOT affect memory and cultural transmission (if rituals are purely social, not cognitive), the thesis fails.</t>
        </is>
      </c>
      <c r="X108" s="2" t="inlineStr">
        <is>
          <t>no</t>
        </is>
      </c>
      <c r="Y108" s="2" t="inlineStr">
        <is>
          <t>partial</t>
        </is>
      </c>
      <c r="Z108" s="2" t="inlineStr">
        <is>
          <t>Ritual form and memory. The tool should consider how ritual forms (rigidity, repetition) affect the user's memory and learning.</t>
        </is>
      </c>
      <c r="AA108" s="2" t="inlineStr">
        <is>
          <t>Form shapes transmission. The cosmotechnic audit must include the form dimension — how the tool's structure affects memory.</t>
        </is>
      </c>
      <c r="AC108" s="2" t="inlineStr">
        <is>
          <t>Construct Dictionary</t>
        </is>
      </c>
      <c r="AE108" s="2" t="inlineStr">
        <is>
          <t>General supporting source</t>
        </is>
      </c>
      <c r="AF108" s="2" t="inlineStr">
        <is>
          <t>36 months</t>
        </is>
      </c>
      <c r="AG108" s="2" t="inlineStr">
        <is>
          <t>2026-08-13</t>
        </is>
      </c>
      <c r="AH108" s="2" t="inlineStr">
        <is>
          <t>2029-08-13</t>
        </is>
      </c>
      <c r="AI108" s="2" t="inlineStr">
        <is>
          <t>Current - located, access/fit caveat</t>
        </is>
      </c>
    </row>
    <row r="109">
      <c r="A109" s="2" t="inlineStr">
        <is>
          <t>A8-09</t>
        </is>
      </c>
      <c r="B109" s="2" t="inlineStr">
        <is>
          <t>Durkheim — The Elementary Forms of Religious Life</t>
        </is>
      </c>
      <c r="C109" s="2" t="inlineStr">
        <is>
          <t>https://www.gutenberg.org/ebooks/41360</t>
        </is>
      </c>
      <c r="D109" s="2" t="inlineStr">
        <is>
          <t>https://archive.org/details/elementaryformso00durk</t>
        </is>
      </c>
      <c r="E109" t="inlineStr">
        <is>
          <t>Project Gutenberg (public domain)</t>
        </is>
      </c>
      <c r="F109" s="2" t="inlineStr">
        <is>
          <t>Located - readable source</t>
        </is>
      </c>
      <c r="G109" s="2" t="inlineStr">
        <is>
          <t>Project Gutenberg and Internet Archive public-domain access located. CHARTED 2026-08-14 batch 5c (Area 8 ritual/symbolic practice; collapsed QC + Phenomenologist). Full text available (public domain).</t>
        </is>
      </c>
      <c r="H109" s="2" t="inlineStr">
        <is>
          <t>Durkheim — The Elementary Forms of Religious Life pdf DOI readable source</t>
        </is>
      </c>
      <c r="I109" s="4" t="inlineStr">
        <is>
          <t>https://www.google.com/search?q=Durkheim+%E2%80%94+The+Elementary+Forms+of+Religious+Life+pdf+DOI+readable+source</t>
        </is>
      </c>
      <c r="J109" s="2" t="inlineStr">
        <is>
          <t>2026-08-13</t>
        </is>
      </c>
      <c r="K109" s="2" t="inlineStr">
        <is>
          <t>Charted - 2026-08-14</t>
        </is>
      </c>
      <c r="L109" s="2" t="n">
        <v>8</v>
      </c>
      <c r="M109" s="2" t="inlineStr">
        <is>
          <t>WS-L</t>
        </is>
      </c>
      <c r="N109" s="2" t="inlineStr">
        <is>
          <t>B</t>
        </is>
      </c>
      <c r="O109" s="2" t="inlineStr">
        <is>
          <t>SOCIAL THEORY</t>
        </is>
      </c>
      <c r="P109" s="2" t="inlineStr">
        <is>
          <t>theoretical</t>
        </is>
      </c>
      <c r="Q109" s="2" t="inlineStr">
        <is>
          <t>sociology</t>
        </is>
      </c>
      <c r="R109" s="2" t="inlineStr">
        <is>
          <t>conceptual</t>
        </is>
      </c>
      <c r="S109" s="2" t="inlineStr">
        <is>
          <t>low</t>
        </is>
      </c>
      <c r="T109" s="2" t="inlineStr">
        <is>
          <t>Collective ritual sustains social order. Durkheim argues that religious beliefs emerge from communal living and emotional bonds within society. Sacred symbols actually represent society itself. The concept of the sacred is the unifying element across all religions — religion is a system of beliefs and practices that unite communities around things set apart as forbidden.</t>
        </is>
      </c>
      <c r="U109" s="2" t="inlineStr">
        <is>
          <t>not_quantifiable (theoretical). Strength = low-medium as the SOCIAL THEORY row — the collective-ritual thesis is a framing resource for the Technodiversity &amp; Cultural Fit Sheet (construct-role claim).</t>
        </is>
      </c>
      <c r="V109" s="2" t="inlineStr">
        <is>
          <t>1912 text — dated anthropological framework. The argument is speculative and selective (focus on Australian totemic societies). The concept of 'society' as the source of the sacred is a theoretical claim, not an empirical one.</t>
        </is>
      </c>
      <c r="W109" s="2" t="inlineStr">
        <is>
          <t>If collective ritual does NOT sustain social order (if social order is maintained by other means — coercion, exchange, contract), Durkheim's thesis is overstated.</t>
        </is>
      </c>
      <c r="X109" s="2" t="inlineStr">
        <is>
          <t>no</t>
        </is>
      </c>
      <c r="Y109" s="2" t="inlineStr">
        <is>
          <t>partial</t>
        </is>
      </c>
      <c r="Z109" s="2" t="inlineStr">
        <is>
          <t>Social dimension of ritual. The tool must consider the social dimension of ritual — how practices bind communities, not just individuals.</t>
        </is>
      </c>
      <c r="AA109" s="2" t="inlineStr">
        <is>
          <t>Ritual binds groups. The cosmotechnic audit must include the social dimension — the practices that unite or divide communities.</t>
        </is>
      </c>
      <c r="AC109" s="2" t="inlineStr">
        <is>
          <t>Technodiversity &amp; Cultural Fit Sheet</t>
        </is>
      </c>
      <c r="AE109" s="2" t="inlineStr">
        <is>
          <t>General supporting source</t>
        </is>
      </c>
      <c r="AF109" s="2" t="inlineStr">
        <is>
          <t>36 months</t>
        </is>
      </c>
      <c r="AG109" s="2" t="inlineStr">
        <is>
          <t>2026-08-13</t>
        </is>
      </c>
      <c r="AH109" s="2" t="inlineStr">
        <is>
          <t>2029-08-13</t>
        </is>
      </c>
      <c r="AI109" s="2" t="inlineStr">
        <is>
          <t>Current - re-search on schedule</t>
        </is>
      </c>
    </row>
    <row r="110">
      <c r="A110" s="2" t="inlineStr">
        <is>
          <t>A8-10</t>
        </is>
      </c>
      <c r="B110" s="2" t="inlineStr">
        <is>
          <t>Whitehouse — Modes of Religiosity</t>
        </is>
      </c>
      <c r="C110" s="2" t="inlineStr">
        <is>
          <t>https://archive.org/details/modesofreligiosi0000whit</t>
        </is>
      </c>
      <c r="D110" s="2" t="inlineStr">
        <is>
          <t>https://www.harveywhitehouse.com/books/modes-of-religiosity-a-cognitive-theory-of-religious-transmission</t>
        </is>
      </c>
      <c r="E110" t="inlineStr">
        <is>
          <t>Archive.org lending-only</t>
        </is>
      </c>
      <c r="F110" s="2" t="inlineStr">
        <is>
          <t>Located - restricted readable</t>
        </is>
      </c>
      <c r="G110" s="2" t="inlineStr">
        <is>
          <t>Archive lending and author landing located. CHARTED 2026-08-14 batch 5c (Area 8 ritual/symbolic practice; collapsed QC + Phenomenologist). ABSTRACT ONLY — lending-only.</t>
        </is>
      </c>
      <c r="H110" s="2" t="inlineStr">
        <is>
          <t>Whitehouse — Modes of Religiosity pdf DOI readable source</t>
        </is>
      </c>
      <c r="I110" s="4" t="inlineStr">
        <is>
          <t>https://www.google.com/search?q=Whitehouse+%E2%80%94+Modes+of+Religiosity+pdf+DOI+readable+source</t>
        </is>
      </c>
      <c r="J110" s="2" t="inlineStr">
        <is>
          <t>2026-08-13</t>
        </is>
      </c>
      <c r="K110" s="2" t="inlineStr">
        <is>
          <t>Charted - 2026-08-14</t>
        </is>
      </c>
      <c r="L110" s="2" t="n">
        <v>8</v>
      </c>
      <c r="M110" s="2" t="inlineStr">
        <is>
          <t>WS-L</t>
        </is>
      </c>
      <c r="N110" s="2" t="inlineStr">
        <is>
          <t>B</t>
        </is>
      </c>
      <c r="O110" s="2" t="inlineStr">
        <is>
          <t>ANTHRO/COGNITION</t>
        </is>
      </c>
      <c r="P110" s="2" t="inlineStr">
        <is>
          <t>theoretical</t>
        </is>
      </c>
      <c r="Q110" s="2" t="inlineStr">
        <is>
          <t>anthropology</t>
        </is>
      </c>
      <c r="R110" s="2" t="inlineStr">
        <is>
          <t>conceptual</t>
        </is>
      </c>
      <c r="S110" s="2" t="inlineStr">
        <is>
          <t>low</t>
        </is>
      </c>
      <c r="T110" s="2" t="inlineStr">
        <is>
          <t>Ritual intensity linked to memory and cohesion. The book examines how ritual intensity (frequency, emotional arousal, cost) affects memory and group cohesion. High-intensity rituals create stronger emotional bonds and more durable memories than low-intensity rituals.</t>
        </is>
      </c>
      <c r="U110" s="2" t="inlineStr">
        <is>
          <t>not_quantifiable (theoretical, abstract-level only). Strength = low-medium as the ANTHRO/COGNITION row — the intensity-cohesion thesis is a framing resource for the Ritual Transition Cards (construct-role claim, abstract-level caveat).</t>
        </is>
      </c>
      <c r="V110" s="2" t="inlineStr">
        <is>
          <t>Abstract/synopsis only — full text lending-only. Flagged as verification debt.</t>
        </is>
      </c>
      <c r="W110" s="2" t="inlineStr">
        <is>
          <t>If ritual intensity does NOT affect memory and cohesion (if low-intensity rituals are equally effective), the thesis fails.</t>
        </is>
      </c>
      <c r="X110" s="2" t="inlineStr">
        <is>
          <t>no</t>
        </is>
      </c>
      <c r="Y110" s="2" t="inlineStr">
        <is>
          <t>partial</t>
        </is>
      </c>
      <c r="Z110" s="2" t="inlineStr">
        <is>
          <t>Intensity vs routinization tradeoffs. The tool should consider the tradeoff between ritual intensity (stronger effect but higher cost) and routinization (weaker effect but sustainable).</t>
        </is>
      </c>
      <c r="AA110" s="2" t="inlineStr">
        <is>
          <t>Ritual mode shapes effect. The cosmotechnic audit must include the intensity dimension — how the tool's intensity affects its impact.</t>
        </is>
      </c>
      <c r="AB110" s="2" t="inlineStr">
        <is>
          <t>CF-7</t>
        </is>
      </c>
      <c r="AC110" s="2" t="inlineStr">
        <is>
          <t>Ritual Transition Cards</t>
        </is>
      </c>
      <c r="AE110" s="2" t="inlineStr">
        <is>
          <t>Philosophical / historical / theoretical</t>
        </is>
      </c>
      <c r="AF110" s="2" t="inlineStr">
        <is>
          <t>60 months</t>
        </is>
      </c>
      <c r="AG110" s="2" t="inlineStr">
        <is>
          <t>2026-08-13</t>
        </is>
      </c>
      <c r="AH110" s="2" t="inlineStr">
        <is>
          <t>2031-08-13</t>
        </is>
      </c>
      <c r="AI110" s="2" t="inlineStr">
        <is>
          <t>Current - located, access/fit caveat</t>
        </is>
      </c>
    </row>
    <row r="111">
      <c r="A111" s="2" t="inlineStr">
        <is>
          <t>A9-01</t>
        </is>
      </c>
      <c r="B111" s="2" t="inlineStr">
        <is>
          <t>Mark, Gudith &amp; Klocke — The Cost of Interrupted Work</t>
        </is>
      </c>
      <c r="C111" s="7" t="inlineStr">
        <is>
          <t>https://ics.uci.edu/~gmark/chi08-mark.pdf</t>
        </is>
      </c>
      <c r="D111" s="7" t="inlineStr">
        <is>
          <t>https://doi.org/10.1145/1357054.1357072</t>
        </is>
      </c>
      <c r="E111" s="6" t="inlineStr">
        <is>
          <t>Open PDF (author camera-ready, ics.uci.edu) / DOI landing (ACM paywalled)</t>
        </is>
      </c>
      <c r="F111" s="7" t="inlineStr">
        <is>
          <t>Located - readable source</t>
        </is>
      </c>
      <c r="G111" s="2" t="inlineStr">
        <is>
          <t>Open author PDF located.; CHARTED 2026-08-13 batch 2 (workday-protocol spine; full role QC pass); Author-hosted camera-ready PDF (ics.uci.edu); not the publisher version of record; ACM DL paywalled; pages 107-110 per Crossref.</t>
        </is>
      </c>
      <c r="H111" s="2" t="inlineStr">
        <is>
          <t>Mark, Gudith &amp; Klocke — The Cost of Interrupted Work pdf DOI readable source</t>
        </is>
      </c>
      <c r="I111" s="4" t="inlineStr">
        <is>
          <t>https://www.google.com/search?q=Mark%2C+Gudith+%26+Klocke+%E2%80%94+The+Cost+of+Interrupted+Work+pdf+DOI+readable+source</t>
        </is>
      </c>
      <c r="J111" s="7" t="inlineStr">
        <is>
          <t>2026-08-13</t>
        </is>
      </c>
      <c r="K111" s="7" t="inlineStr">
        <is>
          <t>Charted - 2026-08-13</t>
        </is>
      </c>
      <c r="L111" s="2" t="n">
        <v>9</v>
      </c>
      <c r="M111" s="2" t="inlineStr">
        <is>
          <t>WS-H</t>
        </is>
      </c>
      <c r="N111" s="2" t="inlineStr">
        <is>
          <t>A</t>
        </is>
      </c>
      <c r="O111" s="2" t="inlineStr">
        <is>
          <t>EMPIRICAL/WARNING</t>
        </is>
      </c>
      <c r="P111" s="2" t="inlineStr">
        <is>
          <t>empirical</t>
        </is>
      </c>
      <c r="Q111" s="2" t="inlineStr">
        <is>
          <t>HCI/work</t>
        </is>
      </c>
      <c r="R111" s="2" t="inlineStr">
        <is>
          <t>causal (lab-bounded: controlled experiment; not field-verified)</t>
        </is>
      </c>
      <c r="S111" s="2" t="inlineStr">
        <is>
          <t>high</t>
        </is>
      </c>
      <c r="T111" s="2" t="inlineStr">
        <is>
          <t>Experiment (interruption vs no-interruption): the context of interruptions did not make a difference, but participants completed interrupted tasks in LESS time with no difference in quality; the data SUGGEST people compensate for interruptions by working faster, at the price of experiencing more stress, higher frustration, time pressure, and effort (hedge per source); individual differences exist: openness to experience and need for personal structure predict disruption costs - the same interruption stream feels different to different people.</t>
        </is>
      </c>
      <c r="U111" s="2" t="inlineStr">
        <is>
          <t>not_quantifiable (directional; charted from full text - compensation-by-speed, no quality difference, increased stress/frustration/time pressure/effort; specific statistics in the paper; no magnitude implied)</t>
        </is>
      </c>
      <c r="V111" s="2" t="inlineStr">
        <is>
          <t>Lab setting with artificial tasks and small N; single-session; interruption medium/context manipulation is message-style (null context effect bounded to that manipulation); compensation mechanism inferred from speed data, not directly measured; quality measures task-specific and may be insensitive to compensation costs; experiential outcomes (stress/effort/time pressure) are self-reported - they are the capture channel itself, not weaker evidence; 2008-era interruption paradigm differs from modern notification regimes.</t>
        </is>
      </c>
      <c r="W111" s="2" t="inlineStr">
        <is>
          <t>Interruptions carry hidden costs (stress, effort, time pressure) even when output is preserved - the pilot must measure these (subjective workload/stress/effort as mandatory DVs), not just completion time and quality, or it replicates the 'no difference' illusion; interruption costs are personally variable (personality moderators) - design must not assume a uniform felt cost; support resumption and reduce interruption-driven compensation (queueing/batching, resumption cues).</t>
        </is>
      </c>
      <c r="X111" s="2" t="inlineStr">
        <is>
          <t>yes</t>
        </is>
      </c>
      <c r="Y111" s="2" t="inlineStr">
        <is>
          <t>yes</t>
        </is>
      </c>
      <c r="Z111" s="2" t="inlineStr">
        <is>
          <t>Workday Interruption Protocol: code interruption queueing/batching and resumption cues as conditions; measure compensation-by-speed explicitly (speed-up is the mechanism, not the benefit); require a baseline/no-interruption contrast (SCED logic); direction + bounded band only, no point estimates from the paper.</t>
        </is>
      </c>
      <c r="AA111" s="2" t="inlineStr">
        <is>
          <t>The interruption regime is a candidate technics of attention (Tier-P, lab-bounded): it orders the person's attention - what may interrupt, when, and at what felt cost; the felt cost is irreducibly the person's own, varying with the person (openness, need for personal structure).</t>
        </is>
      </c>
      <c r="AB111" s="2" t="inlineStr">
        <is>
          <t>CF-5</t>
        </is>
      </c>
      <c r="AC111" s="2" t="inlineStr">
        <is>
          <t>Workday Interruption Protocol</t>
        </is>
      </c>
      <c r="AE111" s="2" t="inlineStr">
        <is>
          <t>Empirical / applied research</t>
        </is>
      </c>
      <c r="AF111" s="2" t="inlineStr">
        <is>
          <t>24 months</t>
        </is>
      </c>
      <c r="AG111" s="2" t="inlineStr">
        <is>
          <t>2026-08-13</t>
        </is>
      </c>
      <c r="AH111" s="2" t="inlineStr">
        <is>
          <t>2028-08-13</t>
        </is>
      </c>
      <c r="AI111" s="2" t="inlineStr">
        <is>
          <t>Current - re-search on schedule</t>
        </is>
      </c>
    </row>
    <row r="112">
      <c r="A112" s="2" t="inlineStr">
        <is>
          <t>A9-02</t>
        </is>
      </c>
      <c r="B112" s="2" t="inlineStr">
        <is>
          <t>Gonzalez &amp; Mark — Multi-tasking Craziness (working spheres)</t>
        </is>
      </c>
      <c r="C112" s="7" t="inlineStr">
        <is>
          <t>https://ics.uci.edu/~gmark/CHI2004.pdf</t>
        </is>
      </c>
      <c r="D112" s="7" t="inlineStr">
        <is>
          <t>https://doi.org/10.1145/985692.985707</t>
        </is>
      </c>
      <c r="E112" s="6" t="inlineStr">
        <is>
          <t>Open PDF (author copy, ics.uci.edu) / DOI landing (ACM paywalled)</t>
        </is>
      </c>
      <c r="F112" s="7" t="inlineStr">
        <is>
          <t>Located - readable source</t>
        </is>
      </c>
      <c r="G112" s="2" t="inlineStr">
        <is>
          <t>Open author PDF located.; CHARTED 2026-08-13 batch 2 (workday-protocol spine; full role QC pass); Author-hosted PDF; not the publisher version of record; publisher pagination 113-120 per Crossref; surname Gonzalez per publisher record.; LOCUS 2026-08-13: supporting weight (not load-bearing)</t>
        </is>
      </c>
      <c r="H112" s="2" t="inlineStr">
        <is>
          <t>Gonzalez &amp; Mark — Multi-tasking Craziness (working spheres) pdf DOI readable source</t>
        </is>
      </c>
      <c r="I112" s="4" t="inlineStr">
        <is>
          <t>https://www.google.com/search?q=Gonzalez+%26+Mark+%E2%80%94+Multi-tasking+Craziness+%28working+spheres%29+pdf+DOI+readable+source</t>
        </is>
      </c>
      <c r="J112" s="7" t="inlineStr">
        <is>
          <t>2026-08-13</t>
        </is>
      </c>
      <c r="K112" s="7" t="inlineStr">
        <is>
          <t>Charted - 2026-08-13</t>
        </is>
      </c>
      <c r="L112" s="2" t="n">
        <v>9</v>
      </c>
      <c r="M112" s="2" t="inlineStr">
        <is>
          <t>WS-H</t>
        </is>
      </c>
      <c r="N112" s="2" t="inlineStr">
        <is>
          <t>A</t>
        </is>
      </c>
      <c r="O112" s="2" t="inlineStr">
        <is>
          <t>EMPIRICAL/MECHANISM</t>
        </is>
      </c>
      <c r="P112" s="2" t="inlineStr">
        <is>
          <t>empirical</t>
        </is>
      </c>
      <c r="Q112" s="2" t="inlineStr">
        <is>
          <t>HCI/work</t>
        </is>
      </c>
      <c r="R112" s="2" t="inlineStr">
        <is>
          <t>correlational (descriptive-observational: field observation, no manipulation, no inferential statistics)</t>
        </is>
      </c>
      <c r="S112" s="2" t="inlineStr">
        <is>
          <t>high</t>
        </is>
      </c>
      <c r="T112" s="2" t="inlineStr">
        <is>
          <t>Fieldwork observation of information workers (analysts, developers, managers) documents that workers EXPERIENCE constant discontinuity of activity - the paper's own title: 'constant, constant, multi-tasking craziness'. Calibrated: ~3 minutes per task and ~2+ minutes per tool before switching; people work in ~10 'working spheres' (larger, thematically connected units of work - the person's own emic organizational structure), ~12 minutes per sphere before switching. IT design should support people's continual switching between working spheres.</t>
        </is>
      </c>
      <c r="U112" s="2" t="inlineStr">
        <is>
          <t>not_quantifiable (descriptive observational metrics - minutes per task/tool/sphere - are not effect sizes; 2004-era)</t>
        </is>
      </c>
      <c r="V112" s="2" t="inlineStr">
        <is>
          <t>Single organization observed; descriptive means only, no inferential statistics computed; observation-granularity artifacts; 2004-era knowledge-work tooling (switching rates are era- and tooling-bound, NOT normative targets); working spheres is the researchers' documented interpretation of an emic construct (not directly user-reported in this study).</t>
        </is>
      </c>
      <c r="W112" s="2" t="inlineStr">
        <is>
          <t>Design for working spheres (thematic units), not isolated tasks: the interruption queue and resumption logic should be sphere-aware (sphere resumption, cross-sphere continuity); avoid task-centric single-window assumptions; do NOT set interruption thresholds from the 2004 figures - measure the pilot's own discontinuity baseline; fragmentation (switching rate, sphere count) is a legitimate pilot outcome metric.</t>
        </is>
      </c>
      <c r="X112" s="2" t="inlineStr">
        <is>
          <t>yes</t>
        </is>
      </c>
      <c r="Y112" s="2" t="inlineStr">
        <is>
          <t>partial</t>
        </is>
      </c>
      <c r="Z112" s="2" t="inlineStr">
        <is>
          <t>Workday Interruption Protocol: the experienced discontinuity (the felt 'craziness') is the phenomenon to address, not merely the measured intervals - the tool must respect the user's own sphere structure and the felt toll of constant switching.</t>
        </is>
      </c>
      <c r="AA112" s="2" t="inlineStr">
        <is>
          <t>Working spheres are a documented ordering of the person's work-activity (emic by researchers' interpretation, not direct self-report); the felt toll of constant switching is the lived face of discontinuity; the tool should mirror the user's sphere structure - as a REVISABLE locality (the user can restructure it, S10), not a frozen identity (localism).</t>
        </is>
      </c>
      <c r="AB112" s="2" t="inlineStr">
        <is>
          <t>CF-5</t>
        </is>
      </c>
      <c r="AC112" s="2" t="inlineStr">
        <is>
          <t>Workday Interruption Protocol</t>
        </is>
      </c>
      <c r="AE112" s="2" t="inlineStr">
        <is>
          <t>Empirical / applied research</t>
        </is>
      </c>
      <c r="AF112" s="2" t="inlineStr">
        <is>
          <t>24 months</t>
        </is>
      </c>
      <c r="AG112" s="2" t="inlineStr">
        <is>
          <t>2026-08-13</t>
        </is>
      </c>
      <c r="AH112" s="2" t="inlineStr">
        <is>
          <t>2028-08-13</t>
        </is>
      </c>
      <c r="AI112" s="2" t="inlineStr">
        <is>
          <t>Current - re-search on schedule</t>
        </is>
      </c>
    </row>
    <row r="113">
      <c r="A113" s="2" t="inlineStr">
        <is>
          <t>A9-03</t>
        </is>
      </c>
      <c r="B113" s="2" t="inlineStr">
        <is>
          <t>Mark, Gonzalez &amp; Harris — No Task Left Behind?</t>
        </is>
      </c>
      <c r="C113" s="7" t="inlineStr">
        <is>
          <t>https://ics.uci.edu/~gmark/CHI2005.pdf</t>
        </is>
      </c>
      <c r="D113" s="7" t="inlineStr">
        <is>
          <t>https://doi.org/10.1145/1054972.1055017</t>
        </is>
      </c>
      <c r="E113" s="6" t="inlineStr">
        <is>
          <t>Open PDF / DOI landing</t>
        </is>
      </c>
      <c r="F113" s="7" t="inlineStr">
        <is>
          <t>Located - readable source</t>
        </is>
      </c>
      <c r="G113" s="2" t="inlineStr">
        <is>
          <t>Open author PDF located.</t>
        </is>
      </c>
      <c r="H113" s="2" t="inlineStr">
        <is>
          <t>Mark, Gonzalez &amp; Harris — No Task Left Behind? pdf DOI readable source</t>
        </is>
      </c>
      <c r="I113" s="4" t="inlineStr">
        <is>
          <t>https://www.google.com/search?q=Mark%2C+Gonzalez+%26+Harris+%E2%80%94+No+Task+Left+Behind%3F+pdf+DOI+readable+source</t>
        </is>
      </c>
      <c r="J113" s="7" t="inlineStr">
        <is>
          <t>2026-08-13</t>
        </is>
      </c>
      <c r="K113" s="7" t="inlineStr">
        <is>
          <t>Located (not charted)</t>
        </is>
      </c>
      <c r="L113" s="2" t="n">
        <v>9</v>
      </c>
      <c r="M113" s="2" t="inlineStr">
        <is>
          <t>WS-H</t>
        </is>
      </c>
      <c r="N113" s="2" t="inlineStr">
        <is>
          <t>A</t>
        </is>
      </c>
      <c r="O113" s="2" t="inlineStr">
        <is>
          <t>EMPIRICAL/MECHANISM</t>
        </is>
      </c>
      <c r="P113" s="2" t="inlineStr">
        <is>
          <t>empirical</t>
        </is>
      </c>
      <c r="Q113" s="2" t="inlineStr">
        <is>
          <t>HCI/work</t>
        </is>
      </c>
      <c r="R113" s="2" t="inlineStr">
        <is>
          <t>correlational</t>
        </is>
      </c>
      <c r="S113" s="2" t="inlineStr">
        <is>
          <t>medium</t>
        </is>
      </c>
      <c r="T113" s="2" t="inlineStr">
        <is>
          <t>Field evidence on the nature of fragmented work.</t>
        </is>
      </c>
      <c r="U113" s="2" t="inlineStr">
        <is>
          <t>[to chart]</t>
        </is>
      </c>
      <c r="V113" s="2" t="inlineStr">
        <is>
          <t>[to chart]</t>
        </is>
      </c>
      <c r="W113" s="2" t="inlineStr">
        <is>
          <t>[to chart]</t>
        </is>
      </c>
      <c r="X113" s="2" t="inlineStr">
        <is>
          <t>yes</t>
        </is>
      </c>
      <c r="Y113" s="2" t="inlineStr">
        <is>
          <t>partial</t>
        </is>
      </c>
      <c r="Z113" s="2" t="inlineStr">
        <is>
          <t>Realistic administrative workflow design.</t>
        </is>
      </c>
      <c r="AA113" s="2" t="inlineStr">
        <is>
          <t>Fragmentation patterns.</t>
        </is>
      </c>
      <c r="AB113" s="2" t="inlineStr">
        <is>
          <t>CF-5</t>
        </is>
      </c>
      <c r="AC113" s="2" t="inlineStr">
        <is>
          <t>Workday Interruption Protocol</t>
        </is>
      </c>
      <c r="AE113" s="2" t="inlineStr">
        <is>
          <t>Empirical / applied research</t>
        </is>
      </c>
      <c r="AF113" s="2" t="inlineStr">
        <is>
          <t>24 months</t>
        </is>
      </c>
      <c r="AG113" s="2" t="inlineStr">
        <is>
          <t>2026-08-13</t>
        </is>
      </c>
      <c r="AH113" s="2" t="inlineStr">
        <is>
          <t>2028-08-13</t>
        </is>
      </c>
      <c r="AI113" s="2" t="inlineStr">
        <is>
          <t>Current - re-search on schedule</t>
        </is>
      </c>
    </row>
    <row r="114">
      <c r="A114" s="2" t="inlineStr">
        <is>
          <t>A9-04</t>
        </is>
      </c>
      <c r="B114" s="2" t="inlineStr">
        <is>
          <t>Leroy — Attention Residue</t>
        </is>
      </c>
      <c r="C114" s="7" t="inlineStr">
        <is>
          <t>https://www.uwb.edu/business/faculty/sophie-leroy/attention-residue</t>
        </is>
      </c>
      <c r="D114" s="7" t="inlineStr">
        <is>
          <t>https://doi.org/10.1016/j.obhdp.2009.04.002</t>
        </is>
      </c>
      <c r="E114" s="6" t="inlineStr">
        <is>
          <t>Author topic page / DOI landing - abstract-level only (full text ScienceDirect paywalled)</t>
        </is>
      </c>
      <c r="F114" s="7" t="inlineStr">
        <is>
          <t>Located - source landing</t>
        </is>
      </c>
      <c r="G114" s="2" t="inlineStr">
        <is>
          <t>Author attention-residue page and DOI landing located; article full text may require access.; CHARTED 2026-08-13 batch 2 (workday-protocol spine; full role QC pass); ABSTRACT-LEVEL CHARTING 2026-08-13 (RePEc-verified abstract); full text ScienceDirect paywalled - chart claims only at abstract level; institutional access required for full text.</t>
        </is>
      </c>
      <c r="H114" s="2" t="inlineStr">
        <is>
          <t>Leroy — Attention Residue pdf DOI readable source</t>
        </is>
      </c>
      <c r="I114" s="4" t="inlineStr">
        <is>
          <t>https://www.google.com/search?q=Leroy+%E2%80%94+Attention+Residue+pdf+DOI+readable+source</t>
        </is>
      </c>
      <c r="J114" s="7" t="inlineStr">
        <is>
          <t>2026-08-13</t>
        </is>
      </c>
      <c r="K114" s="7" t="inlineStr">
        <is>
          <t>Charted - 2026-08-13</t>
        </is>
      </c>
      <c r="L114" s="2" t="n">
        <v>9</v>
      </c>
      <c r="M114" s="2" t="inlineStr">
        <is>
          <t>WS-E</t>
        </is>
      </c>
      <c r="N114" s="2" t="inlineStr">
        <is>
          <t>A</t>
        </is>
      </c>
      <c r="O114" s="2" t="inlineStr">
        <is>
          <t>MECHANISM/WARNING</t>
        </is>
      </c>
      <c r="P114" s="2" t="inlineStr">
        <is>
          <t>empirical</t>
        </is>
      </c>
      <c r="Q114" s="2" t="inlineStr">
        <is>
          <t>org behavior</t>
        </is>
      </c>
      <c r="R114" s="2" t="inlineStr">
        <is>
          <t>causal (lab-bounded: two random-assignment experiments)</t>
        </is>
      </c>
      <c r="S114" s="2" t="inlineStr">
        <is>
          <t>high</t>
        </is>
      </c>
      <c r="T114" s="2" t="inlineStr">
        <is>
          <t>Two lab experiments: people need to stop thinking about one task in order to fully transition attention and perform well on another; it is difficult to disengage attention from an unfinished task and subsequent task performance suffers; finishing the task before switching is NOT enough - time pressure while finishing is needed to disengage from the first task and contributes to higher performance on the next task.</t>
        </is>
      </c>
      <c r="U114" s="2" t="inlineStr">
        <is>
          <t>not_quantifiable (abstract-level; lab performance measures; specific statistics in full text, which is institutional)</t>
        </is>
      </c>
      <c r="V114" s="2" t="inlineStr">
        <is>
          <t>Abstract-level charting (full text ScienceDirect paywalled; abstract RePEc-verified); task types, samples, and effect magnitudes unknown at abstract level; the mechanism behind the time-pressure finding (why pressure enables disengagement) is not explained in the abstract; the 'finishing is not enough' result may interact with task difficulty - unverifiable at abstract level.</t>
        </is>
      </c>
      <c r="W114" s="2" t="inlineStr">
        <is>
          <t>Task closure affordances alone will not eliminate residue costs ('finish before switching' is NOT enough): closure affordances exist FOR THE FELT WEIGHT of the unfinished work (residue as felt remainder, the haunting no performance metric captures), not only for the performance cost; provide resumption support beyond closure (resumption cues, disengagement rituals); time-pressure-as-disengagement levers must be tested ONLY with the A9-01 stress/effort cost measurements - never as a standalone feature; measure next-task performance in the immediate post-switch window (the residue window).</t>
        </is>
      </c>
      <c r="X114" s="2" t="inlineStr">
        <is>
          <t>yes</t>
        </is>
      </c>
      <c r="Y114" s="2" t="inlineStr">
        <is>
          <t>partial</t>
        </is>
      </c>
      <c r="Z114" s="2" t="inlineStr">
        <is>
          <t>Arousal/Flow/Task-Switching Layer: attention residue is a felt remainder that persists after task completion - design closure and disengagement affordances for the felt weight of unfinished work; treat time-pressure levers with stress caveats (cf. A9-01); residue and time-pressure effects are lab-task results, not validated design levers.</t>
        </is>
      </c>
      <c r="AA114" s="2" t="inlineStr">
        <is>
          <t>Attention residue is measured as a next-task performance decrement; the charting reads it as a phenomenological remainder (Tier-P, interpretive - the source does not measure the felt experience): the unfinished task persists into the next; the tool's switch-design shapes the continuity of the person's attention and the felt weight of the unfinished.</t>
        </is>
      </c>
      <c r="AB114" s="2" t="inlineStr">
        <is>
          <t>CF-5</t>
        </is>
      </c>
      <c r="AC114" s="2" t="inlineStr">
        <is>
          <t>Arousal/Flow/Task-Switching Layer</t>
        </is>
      </c>
      <c r="AE114" s="2" t="inlineStr">
        <is>
          <t>Empirical / applied research</t>
        </is>
      </c>
      <c r="AF114" s="2" t="inlineStr">
        <is>
          <t>24 months</t>
        </is>
      </c>
      <c r="AG114" s="2" t="inlineStr">
        <is>
          <t>2026-08-13</t>
        </is>
      </c>
      <c r="AH114" s="2" t="inlineStr">
        <is>
          <t>2028-08-13</t>
        </is>
      </c>
      <c r="AI114" s="2" t="inlineStr">
        <is>
          <t>Current - located, access/fit caveat</t>
        </is>
      </c>
    </row>
    <row r="115">
      <c r="A115" s="2" t="inlineStr">
        <is>
          <t>A9-05</t>
        </is>
      </c>
      <c r="B115" s="2" t="inlineStr">
        <is>
          <t>Arnold, Goldschmitt &amp; Rigotti — Information Overload (review)</t>
        </is>
      </c>
      <c r="C115" s="7" t="inlineStr">
        <is>
          <t>https://pmc.ncbi.nlm.nih.gov/articles/PMC10322198/</t>
        </is>
      </c>
      <c r="D115" s="7" t="inlineStr">
        <is>
          <t>https://doi.org/10.3389/fpsyg.2023.1122200</t>
        </is>
      </c>
      <c r="E115" s="6" t="inlineStr">
        <is>
          <t>Open full text (PMC OA CC-BY 4.0; browser-stack for JS page; Frontiers landing curl-friendly) / DOI landing</t>
        </is>
      </c>
      <c r="F115" s="7" t="inlineStr">
        <is>
          <t>Located - readable source</t>
        </is>
      </c>
      <c r="G115" s="2" t="inlineStr">
        <is>
          <t>Open PMC/Frontiers full text located.; CHARTED 2026-08-13 batch 2 (workday-protocol spine; full role QC pass); Full text OA (CC-BY 4.0); PMC article page JS-rendered for curl - read via browser-stack; Frontiers landing open as curl-friendly alternate.; LOCUS 2026-08-13: supporting weight (not load-bearing)</t>
        </is>
      </c>
      <c r="H115" s="2" t="inlineStr">
        <is>
          <t>Arnold, Goldschmitt &amp; Rigotti — Information Overload (review) pdf DOI readable source</t>
        </is>
      </c>
      <c r="I115" s="4" t="inlineStr">
        <is>
          <t>https://www.google.com/search?q=Arnold%2C+Goldschmitt+%26+Rigotti+%E2%80%94+Information+Overload+%28review%29+pdf+DOI+readable+source</t>
        </is>
      </c>
      <c r="J115" s="7" t="inlineStr">
        <is>
          <t>2026-08-13</t>
        </is>
      </c>
      <c r="K115" s="7" t="inlineStr">
        <is>
          <t>Charted - 2026-08-13</t>
        </is>
      </c>
      <c r="L115" s="2" t="n">
        <v>9</v>
      </c>
      <c r="M115" s="2" t="inlineStr">
        <is>
          <t>WS-H</t>
        </is>
      </c>
      <c r="N115" s="2" t="inlineStr">
        <is>
          <t>A</t>
        </is>
      </c>
      <c r="O115" s="2" t="inlineStr">
        <is>
          <t>REVIEW/DESIGN</t>
        </is>
      </c>
      <c r="P115" s="2" t="inlineStr">
        <is>
          <t>systematic review (PRISMA)</t>
        </is>
      </c>
      <c r="Q115" s="2" t="inlineStr">
        <is>
          <t>org psych</t>
        </is>
      </c>
      <c r="R115" s="2" t="inlineStr">
        <is>
          <t>correlational (mixed-evidence systematic review; no causal claim licensed about any intervention)</t>
        </is>
      </c>
      <c r="S115" s="2" t="inlineStr">
        <is>
          <t>medium</t>
        </is>
      </c>
      <c r="T115" s="2" t="inlineStr">
        <is>
          <t>The review targets information overload AS EXPERIENCED - perceived overload exacerbated by the digitalization of work, the felt excess that no message count or intervention menu captures. Method: PRISMA systematic review; 87 studies, field reports, and conceptual papers on prevention/intervention measures. Results: many interventions at the behavioral prevention level; structural-prevention proposals also numerous (work design at the ICT level and at the teamwork/organizational-regulation level); the strength of evidence across studies is MIXED.</t>
        </is>
      </c>
      <c r="U115" s="2" t="inlineStr">
        <is>
          <t>not_quantifiable (no pooling; 'the strength of the evidence... is mixed' is itself the headline finding)</t>
        </is>
      </c>
      <c r="V115" s="2" t="inlineStr">
        <is>
          <t>Mixed/heterogeneous evidence base; many included items are conceptual papers or field reports, not controlled studies; structural-level proposals largely untested; no risk-of-bias grading reported in the abstract; review scope limited to prevention/intervention literature (no evidence on overload prevalence or consequences); possible language/geography skew (German-affiliated review team) - flagged, not asserted.</t>
        </is>
      </c>
      <c r="W115" s="2" t="inlineStr">
        <is>
          <t>Multi-level intervention menu (behavioral + structural: ICT design, teamwork/organizational regulation); treat every reviewed intervention as a candidate hypothesis, not a proven measure; structural proposals must not be imported as validated; felt/perceived overload must be MEASURED, not inferred from message counts - the pilot's DV should include perceived overload; document the evidence level (behavioral vs structural) of each intervention the pilot touches.</t>
        </is>
      </c>
      <c r="X115" s="2" t="inlineStr">
        <is>
          <t>partial</t>
        </is>
      </c>
      <c r="Y115" s="2" t="inlineStr">
        <is>
          <t>yes</t>
        </is>
      </c>
      <c r="Z115" s="2" t="inlineStr">
        <is>
          <t>Workday Interruption Protocol: information overload is a milieu condition with a felt face - the tool must reduce informational noise as part of cultivating the person's attentional cosmos, with structural (not just behavioral) responsibility; mixed evidence means the pilot measures its own outcomes.</t>
        </is>
      </c>
      <c r="AA115" s="2" t="inlineStr">
        <is>
          <t>Information overload is a milieu condition: the felt excess is the phenomenon (the source's own 'as experienced' framing); the intervention taxonomy charts the response surface - it does not calibrate the felt condition; the tool must address perceived overload before optimizing message flows; structural responsibility for the informational environment is a proposal-level claim (mixed evidence; Tier-P).</t>
        </is>
      </c>
      <c r="AB115" s="2" t="inlineStr">
        <is>
          <t>CF-5</t>
        </is>
      </c>
      <c r="AC115" s="2" t="inlineStr">
        <is>
          <t>Workday Interruption Protocol</t>
        </is>
      </c>
      <c r="AE115" s="2" t="inlineStr">
        <is>
          <t>Empirical / applied research</t>
        </is>
      </c>
      <c r="AF115" s="2" t="inlineStr">
        <is>
          <t>24 months</t>
        </is>
      </c>
      <c r="AG115" s="2" t="inlineStr">
        <is>
          <t>2026-08-13</t>
        </is>
      </c>
      <c r="AH115" s="2" t="inlineStr">
        <is>
          <t>2028-08-13</t>
        </is>
      </c>
      <c r="AI115" s="2" t="inlineStr">
        <is>
          <t>Current - re-search on schedule</t>
        </is>
      </c>
    </row>
    <row r="116">
      <c r="A116" s="2" t="inlineStr">
        <is>
          <t>A9-06</t>
        </is>
      </c>
      <c r="B116" s="2" t="inlineStr">
        <is>
          <t>Rick et al. — Work Interruptions of Office Workers</t>
        </is>
      </c>
      <c r="C116" s="7" t="inlineStr">
        <is>
          <t>https://publications.rwth-aachen.de/record/962254/files/962254.pdf</t>
        </is>
      </c>
      <c r="D116" s="7" t="inlineStr">
        <is>
          <t>https://doi.org/10.3233/WOR-220684</t>
        </is>
      </c>
      <c r="E116" s="6" t="inlineStr">
        <is>
          <t>OpenAccess CC-BY 4.0 (RWTH record; direct PDF bot-challenged to agents - browser-stack) / DOI landing</t>
        </is>
      </c>
      <c r="F116" s="7" t="inlineStr">
        <is>
          <t>Located - readable source</t>
        </is>
      </c>
      <c r="G116" s="2" t="inlineStr">
        <is>
          <t>Open RWTH PDF located.; CHARTED 2026-08-13 batch 2 (workday-protocol spine; full role QC pass); OpenAccess CC-BY 4.0 per RWTH record + Crossref; direct curl PDF fetch blocked by bot challenge - browser-stack required; RWTH 'Review Article' tag is a repository quirk (empirical study); abstract verified via SAGE/IOS landing.; LOCUS 2026-08-13: supporting weight (not load-bearing)</t>
        </is>
      </c>
      <c r="H116" s="2" t="inlineStr">
        <is>
          <t>Rick et al. — Work Interruptions of Office Workers pdf DOI readable source</t>
        </is>
      </c>
      <c r="I116" s="4" t="inlineStr">
        <is>
          <t>https://www.google.com/search?q=Rick+et+al.+%E2%80%94+Work+Interruptions+of+Office+Workers+pdf+DOI+readable+source</t>
        </is>
      </c>
      <c r="J116" s="7" t="inlineStr">
        <is>
          <t>2026-08-13</t>
        </is>
      </c>
      <c r="K116" s="7" t="inlineStr">
        <is>
          <t>Charted - 2026-08-13</t>
        </is>
      </c>
      <c r="L116" s="2" t="n">
        <v>9</v>
      </c>
      <c r="M116" s="2" t="inlineStr">
        <is>
          <t>WS-J</t>
        </is>
      </c>
      <c r="N116" s="2" t="inlineStr">
        <is>
          <t>A</t>
        </is>
      </c>
      <c r="O116" s="2" t="inlineStr">
        <is>
          <t>EMPIRICAL/MEASURE</t>
        </is>
      </c>
      <c r="P116" s="2" t="inlineStr">
        <is>
          <t>empirical</t>
        </is>
      </c>
      <c r="Q116" s="2" t="inlineStr">
        <is>
          <t>occupational</t>
        </is>
      </c>
      <c r="R116" s="2" t="inlineStr">
        <is>
          <t>correlational (cross-sectional one-day diary; mediation is statistical, causal order not established)</t>
        </is>
      </c>
      <c r="S116" s="2" t="inlineStr">
        <is>
          <t>medium</t>
        </is>
      </c>
      <c r="T116" s="2" t="inlineStr">
        <is>
          <t>One-day diary study (492 German office workers): interruption frequency relates to subjective workload THROUGH the individual's perception of the interruptions (statistical mediation - cross-sectional, causal order NOT established); the complexity of the primary work task moderates the effect - more complex primary tasks SEEM to strengthen the positive relationship between interruption frequency and subjective workload (hedge per source).</t>
        </is>
      </c>
      <c r="U116" s="2" t="inlineStr">
        <is>
          <t>not_quantifiable (abstract-level; direction + significance only; no coefficients reported in the abstract; an open CC-BY PDF exists on the RWTH record but is bot-challenged to agents - abstract-level charting is a documented decision, not a paywall)</t>
        </is>
      </c>
      <c r="V116" s="2" t="inlineStr">
        <is>
          <t>Common-method variance (frequency, perception, workload all self-reported same day); end-of-day recall bias; single day may not represent typical workload; German office-worker sample; complexity operationalization unknown at abstract level; mediation is statistical, not causal - routinely over-read as causal, must not be charted as a mechanism; RWTH record's 'Review Article' tag is a repository quirk (the study is empirical).</t>
        </is>
      </c>
      <c r="W116" s="2" t="inlineStr">
        <is>
          <t>Interruption perception/appraisal is the operative locus - interventions could target appraisal rather than (only) reducing interruption frequency; complexity moderation means low-complexity phases are less affected, so blanket interruption bans are overkill; use objective interruption logs alongside self-report to avoid the common-method bias the source itself suffers from; context-sensitive policy, not blanket rules.</t>
        </is>
      </c>
      <c r="X116" s="2" t="inlineStr">
        <is>
          <t>yes</t>
        </is>
      </c>
      <c r="Y116" s="2" t="inlineStr">
        <is>
          <t>partial</t>
        </is>
      </c>
      <c r="Z116" s="2" t="inlineStr">
        <is>
          <t>Workday Interruption Protocol: protect complex-task phases from interruption, with complexity PERSON-DESIGNATED or person-confirmed (never a tool-side classifier - S1/S10 guard, Ethics Auditor); treat interruption perception/appraisal as a measured mediator AND as an intervention target in the legibility/support sense (making interruptions understandable, resumable, chosen - the tool responds to the person's appraisal; explicitly NOT felt-cost down-regulation to preserve output - the batch's moral-hollowing failure mode, Ethics Auditor); subjective workload as a key outcome metric; use objective interruption logs alongside self-report; context-sensitive policy, not blanket rules; direction-only import (no coefficients at abstract level).</t>
        </is>
      </c>
      <c r="AA116" s="2" t="inlineStr">
        <is>
          <t>The perceived interruption is the locus of cost: appraisal (what the interruption felt like, why it felt costly) mediates the frequency-&gt;workload relation (Tier-P - statistical mediation, cross-sectional, causal order not established; no magnitude equality licensed); the tool's interruption grammar participates in shaping the person's experienced ordering of work.</t>
        </is>
      </c>
      <c r="AB116" s="2" t="inlineStr">
        <is>
          <t>CF-5</t>
        </is>
      </c>
      <c r="AC116" s="2" t="inlineStr">
        <is>
          <t>Workday Interruption Protocol</t>
        </is>
      </c>
      <c r="AD116" s="2" t="inlineStr">
        <is>
          <t>OC-3</t>
        </is>
      </c>
      <c r="AE116" s="2" t="inlineStr">
        <is>
          <t>Empirical / applied research</t>
        </is>
      </c>
      <c r="AF116" s="2" t="inlineStr">
        <is>
          <t>24 months</t>
        </is>
      </c>
      <c r="AG116" s="2" t="inlineStr">
        <is>
          <t>2026-08-13</t>
        </is>
      </c>
      <c r="AH116" s="2" t="inlineStr">
        <is>
          <t>2028-08-13</t>
        </is>
      </c>
      <c r="AI116" s="2" t="inlineStr">
        <is>
          <t>Current - re-search on schedule</t>
        </is>
      </c>
    </row>
    <row r="117">
      <c r="A117" s="2" t="inlineStr">
        <is>
          <t>A9-07</t>
        </is>
      </c>
      <c r="B117" s="2" t="inlineStr">
        <is>
          <t>Iqbal &amp; Horvitz — Disruption and Recovery of Computing Tasks</t>
        </is>
      </c>
      <c r="C117" s="2" t="inlineStr">
        <is>
          <t>http://erichorvitz.com/CHI_2007_Iqbal_Horvitz.pdf</t>
        </is>
      </c>
      <c r="D117" s="2" t="inlineStr">
        <is>
          <t>https://www.microsoft.com/en-us/research/publication/disruption-recovery-computing-tasks-field-study-analysis-directions/</t>
        </is>
      </c>
      <c r="E117" t="inlineStr">
        <is>
          <t>Open PDF / Microsoft Research landing</t>
        </is>
      </c>
      <c r="F117" s="2" t="inlineStr">
        <is>
          <t>Located - readable source</t>
        </is>
      </c>
      <c r="G117" s="2" t="inlineStr">
        <is>
          <t>Author PDF and Microsoft Research source page located.</t>
        </is>
      </c>
      <c r="H117" s="2" t="inlineStr">
        <is>
          <t>Iqbal &amp; Horvitz — Disruption and Recovery of Computing Tasks pdf DOI readable source</t>
        </is>
      </c>
      <c r="I117" s="4" t="inlineStr">
        <is>
          <t>https://www.google.com/search?q=Iqbal+%26+Horvitz+%E2%80%94+Disruption+and+Recovery+of+Computing+Tasks+pdf+DOI+readable+source</t>
        </is>
      </c>
      <c r="J117" s="2" t="inlineStr">
        <is>
          <t>2026-08-13</t>
        </is>
      </c>
      <c r="K117" s="2" t="inlineStr">
        <is>
          <t>Pending</t>
        </is>
      </c>
      <c r="L117" s="2" t="n">
        <v>9</v>
      </c>
      <c r="M117" s="2" t="inlineStr">
        <is>
          <t>WS-H</t>
        </is>
      </c>
      <c r="N117" s="2" t="inlineStr">
        <is>
          <t>B</t>
        </is>
      </c>
      <c r="O117" s="2" t="inlineStr">
        <is>
          <t>EMPIRICAL/DESIGN</t>
        </is>
      </c>
      <c r="P117" s="2" t="inlineStr">
        <is>
          <t>empirical</t>
        </is>
      </c>
      <c r="Q117" s="2" t="inlineStr">
        <is>
          <t>HCI</t>
        </is>
      </c>
      <c r="R117" s="2" t="inlineStr">
        <is>
          <t>correlational</t>
        </is>
      </c>
      <c r="S117" s="2" t="inlineStr">
        <is>
          <t>low</t>
        </is>
      </c>
      <c r="T117" s="2" t="inlineStr">
        <is>
          <t>Interruption timing and recovery in computing tasks.</t>
        </is>
      </c>
      <c r="U117" s="2" t="inlineStr">
        <is>
          <t>[to chart]</t>
        </is>
      </c>
      <c r="V117" s="2" t="inlineStr">
        <is>
          <t>[to chart]</t>
        </is>
      </c>
      <c r="W117" s="2" t="inlineStr">
        <is>
          <t>[to chart]</t>
        </is>
      </c>
      <c r="X117" s="2" t="inlineStr">
        <is>
          <t>partial</t>
        </is>
      </c>
      <c r="Y117" s="2" t="inlineStr">
        <is>
          <t>partial</t>
        </is>
      </c>
      <c r="Z117" s="2" t="inlineStr">
        <is>
          <t>Recovery-aware task resumption.</t>
        </is>
      </c>
      <c r="AA117" s="2" t="inlineStr">
        <is>
          <t>Timing shapes recovery.</t>
        </is>
      </c>
      <c r="AB117" s="2" t="inlineStr">
        <is>
          <t>CF-5</t>
        </is>
      </c>
      <c r="AC117" s="2" t="inlineStr">
        <is>
          <t>Workday Interruption Protocol</t>
        </is>
      </c>
      <c r="AE117" s="2" t="inlineStr">
        <is>
          <t>Empirical / applied research</t>
        </is>
      </c>
      <c r="AF117" s="2" t="inlineStr">
        <is>
          <t>24 months</t>
        </is>
      </c>
      <c r="AG117" s="2" t="inlineStr">
        <is>
          <t>2026-08-13</t>
        </is>
      </c>
      <c r="AH117" s="2" t="inlineStr">
        <is>
          <t>2028-08-13</t>
        </is>
      </c>
      <c r="AI117" s="2" t="inlineStr">
        <is>
          <t>Current - re-search on schedule</t>
        </is>
      </c>
    </row>
    <row r="118">
      <c r="A118" s="2" t="inlineStr">
        <is>
          <t>A9-08</t>
        </is>
      </c>
      <c r="B118" s="2" t="inlineStr">
        <is>
          <t>Bailey &amp; Konstan — On the Need for Attention-Aware Systems</t>
        </is>
      </c>
      <c r="C118" s="2" t="inlineStr">
        <is>
          <t>https://www.interruptions.net/literature/Bailey-CHB06_1.pdf</t>
        </is>
      </c>
      <c r="D118" s="2" t="inlineStr">
        <is>
          <t>https://doi.org/10.1016/j.chb.2005.12.009</t>
        </is>
      </c>
      <c r="E118" t="inlineStr">
        <is>
          <t>Open PDF / DOI landing</t>
        </is>
      </c>
      <c r="F118" s="2" t="inlineStr">
        <is>
          <t>Located - readable source</t>
        </is>
      </c>
      <c r="G118" s="2" t="inlineStr">
        <is>
          <t>Readable PDF and DOI located.</t>
        </is>
      </c>
      <c r="H118" s="2" t="inlineStr">
        <is>
          <t>Bailey &amp; Konstan — On the Need for Attention-Aware Systems pdf DOI readable source</t>
        </is>
      </c>
      <c r="I118" s="4" t="inlineStr">
        <is>
          <t>https://www.google.com/search?q=Bailey+%26+Konstan+%E2%80%94+On+the+Need+for+Attention-Aware+Systems+pdf+DOI+readable+source</t>
        </is>
      </c>
      <c r="J118" s="2" t="inlineStr">
        <is>
          <t>2026-08-13</t>
        </is>
      </c>
      <c r="K118" s="2" t="inlineStr">
        <is>
          <t>Pending</t>
        </is>
      </c>
      <c r="L118" s="2" t="n">
        <v>9</v>
      </c>
      <c r="M118" s="2" t="inlineStr">
        <is>
          <t>WS-H</t>
        </is>
      </c>
      <c r="N118" s="2" t="inlineStr">
        <is>
          <t>B</t>
        </is>
      </c>
      <c r="O118" s="2" t="inlineStr">
        <is>
          <t>DESIGN/WARNING</t>
        </is>
      </c>
      <c r="P118" s="2" t="inlineStr">
        <is>
          <t>empirical</t>
        </is>
      </c>
      <c r="Q118" s="2" t="inlineStr">
        <is>
          <t>HCI</t>
        </is>
      </c>
      <c r="R118" s="2" t="inlineStr">
        <is>
          <t>causal</t>
        </is>
      </c>
      <c r="S118" s="2" t="inlineStr">
        <is>
          <t>low</t>
        </is>
      </c>
      <c r="T118" s="2" t="inlineStr">
        <is>
          <t>Interrupting at poor moments increases cost.</t>
        </is>
      </c>
      <c r="U118" s="2" t="inlineStr">
        <is>
          <t>[to chart]</t>
        </is>
      </c>
      <c r="V118" s="2" t="inlineStr">
        <is>
          <t>[to chart]</t>
        </is>
      </c>
      <c r="W118" s="2" t="inlineStr">
        <is>
          <t>[to chart]</t>
        </is>
      </c>
      <c r="X118" s="2" t="inlineStr">
        <is>
          <t>partial</t>
        </is>
      </c>
      <c r="Y118" s="2" t="inlineStr">
        <is>
          <t>partial</t>
        </is>
      </c>
      <c r="Z118" s="2" t="inlineStr">
        <is>
          <t>Time interruptions intelligently.</t>
        </is>
      </c>
      <c r="AA118" s="2" t="inlineStr">
        <is>
          <t>Bad timing is costly.</t>
        </is>
      </c>
      <c r="AB118" s="2" t="inlineStr">
        <is>
          <t>CF-5</t>
        </is>
      </c>
      <c r="AC118" s="2" t="inlineStr">
        <is>
          <t>Digital Capture Architecture</t>
        </is>
      </c>
      <c r="AE118" s="2" t="inlineStr">
        <is>
          <t>Empirical / applied research</t>
        </is>
      </c>
      <c r="AF118" s="2" t="inlineStr">
        <is>
          <t>24 months</t>
        </is>
      </c>
      <c r="AG118" s="2" t="inlineStr">
        <is>
          <t>2026-08-13</t>
        </is>
      </c>
      <c r="AH118" s="2" t="inlineStr">
        <is>
          <t>2028-08-13</t>
        </is>
      </c>
      <c r="AI118" s="2" t="inlineStr">
        <is>
          <t>Current - re-search on schedule</t>
        </is>
      </c>
    </row>
    <row r="119">
      <c r="A119" s="2" t="inlineStr">
        <is>
          <t>A9-09</t>
        </is>
      </c>
      <c r="B119" s="2" t="inlineStr">
        <is>
          <t>Microsoft Work Trend Index (reports)</t>
        </is>
      </c>
      <c r="C119" s="2" t="inlineStr">
        <is>
          <t>https://www.microsoft.com/en-us/worklab/work-trend-index/agents-human-agency-and-the-opportunity-for-every-organization</t>
        </is>
      </c>
      <c r="D119" s="2" t="inlineStr">
        <is>
          <t>https://www.microsoft.com/en-us/worklab/work-trend-index</t>
        </is>
      </c>
      <c r="E119" t="inlineStr">
        <is>
          <t>Official report page</t>
        </is>
      </c>
      <c r="F119" s="2" t="inlineStr">
        <is>
          <t>Located - readable source</t>
        </is>
      </c>
      <c r="G119" s="2" t="inlineStr">
        <is>
          <t>Latest Microsoft Work Trend Index report page located; staleness should be annual/quarterly.</t>
        </is>
      </c>
      <c r="H119" s="2" t="inlineStr">
        <is>
          <t>Microsoft Work Trend Index (reports) pdf DOI readable source</t>
        </is>
      </c>
      <c r="I119" s="4" t="inlineStr">
        <is>
          <t>https://www.google.com/search?q=Microsoft+Work+Trend+Index+%28reports%29+pdf+DOI+readable+source</t>
        </is>
      </c>
      <c r="J119" s="2" t="inlineStr">
        <is>
          <t>2026-08-13</t>
        </is>
      </c>
      <c r="K119" s="2" t="inlineStr">
        <is>
          <t>Pending</t>
        </is>
      </c>
      <c r="L119" s="2" t="n">
        <v>9</v>
      </c>
      <c r="M119" s="2" t="inlineStr">
        <is>
          <t>WS-H</t>
        </is>
      </c>
      <c r="N119" s="2" t="inlineStr">
        <is>
          <t>C</t>
        </is>
      </c>
      <c r="O119" s="2" t="inlineStr">
        <is>
          <t>CONTEXT</t>
        </is>
      </c>
      <c r="P119" s="2" t="inlineStr">
        <is>
          <t>review</t>
        </is>
      </c>
      <c r="Q119" s="2" t="inlineStr">
        <is>
          <t>industry</t>
        </is>
      </c>
      <c r="R119" s="2" t="inlineStr">
        <is>
          <t>correlational</t>
        </is>
      </c>
      <c r="S119" s="2" t="inlineStr">
        <is>
          <t>low</t>
        </is>
      </c>
      <c r="T119" s="2" t="inlineStr">
        <is>
          <t>Current workplace trend data (AI at work, infinite workday).</t>
        </is>
      </c>
      <c r="U119" s="2" t="inlineStr">
        <is>
          <t>[to chart]</t>
        </is>
      </c>
      <c r="V119" s="2" t="inlineStr">
        <is>
          <t>[to chart]</t>
        </is>
      </c>
      <c r="W119" s="2" t="inlineStr">
        <is>
          <t>[to chart]</t>
        </is>
      </c>
      <c r="X119" s="2" t="inlineStr">
        <is>
          <t>no</t>
        </is>
      </c>
      <c r="Y119" s="2" t="inlineStr">
        <is>
          <t>partial</t>
        </is>
      </c>
      <c r="Z119" s="2" t="inlineStr">
        <is>
          <t>Current workplace context.</t>
        </is>
      </c>
      <c r="AA119" s="2" t="inlineStr">
        <is>
          <t>Situate admin/client-service reality.</t>
        </is>
      </c>
      <c r="AC119" s="2" t="inlineStr">
        <is>
          <t>Master Research Index</t>
        </is>
      </c>
      <c r="AD119" s="2" t="inlineStr">
        <is>
          <t>OC-13</t>
        </is>
      </c>
      <c r="AE119" s="2" t="inlineStr">
        <is>
          <t>Fast-moving digital/AI/work trend</t>
        </is>
      </c>
      <c r="AF119" s="2" t="inlineStr">
        <is>
          <t>6 months</t>
        </is>
      </c>
      <c r="AG119" s="2" t="inlineStr">
        <is>
          <t>2026-08-13</t>
        </is>
      </c>
      <c r="AH119" s="2" t="inlineStr">
        <is>
          <t>2027-02-13</t>
        </is>
      </c>
      <c r="AI119" s="2" t="inlineStr">
        <is>
          <t>Current - re-search on schedule</t>
        </is>
      </c>
    </row>
    <row r="120">
      <c r="A120" s="2" t="inlineStr">
        <is>
          <t>A9-10</t>
        </is>
      </c>
      <c r="B120" s="2" t="inlineStr">
        <is>
          <t>Newport — Deep Work</t>
        </is>
      </c>
      <c r="C120" s="2" t="inlineStr">
        <is>
          <t>https://archive.org/details/deepworkrulesfor0000newp</t>
        </is>
      </c>
      <c r="D120" s="2" t="inlineStr">
        <is>
          <t>https://www.hachettebookgroup.com/titles/cal-newport/deep-work/9781455586677/</t>
        </is>
      </c>
      <c r="E120" t="inlineStr">
        <is>
          <t>Archive lending / publisher landing</t>
        </is>
      </c>
      <c r="F120" s="2" t="inlineStr">
        <is>
          <t>Located - restricted readable</t>
        </is>
      </c>
      <c r="G120" s="2" t="inlineStr">
        <is>
          <t>Archive lending and publisher landing located.</t>
        </is>
      </c>
      <c r="H120" s="2" t="inlineStr">
        <is>
          <t>Newport — Deep Work pdf DOI readable source</t>
        </is>
      </c>
      <c r="I120" s="4" t="inlineStr">
        <is>
          <t>https://www.google.com/search?q=Newport+%E2%80%94+Deep+Work+pdf+DOI+readable+source</t>
        </is>
      </c>
      <c r="J120" s="2" t="inlineStr">
        <is>
          <t>2026-08-13</t>
        </is>
      </c>
      <c r="K120" s="2" t="inlineStr">
        <is>
          <t>Pending</t>
        </is>
      </c>
      <c r="L120" s="2" t="n">
        <v>9</v>
      </c>
      <c r="M120" s="2" t="inlineStr">
        <is>
          <t>WS-E</t>
        </is>
      </c>
      <c r="N120" s="2" t="inlineStr">
        <is>
          <t>C</t>
        </is>
      </c>
      <c r="O120" s="2" t="inlineStr">
        <is>
          <t>POPULAR/DESIGN</t>
        </is>
      </c>
      <c r="P120" s="2" t="inlineStr">
        <is>
          <t>popular</t>
        </is>
      </c>
      <c r="Q120" s="2" t="inlineStr">
        <is>
          <t>productivity</t>
        </is>
      </c>
      <c r="R120" s="2" t="inlineStr">
        <is>
          <t>conceptual</t>
        </is>
      </c>
      <c r="S120" s="2" t="inlineStr">
        <is>
          <t>low</t>
        </is>
      </c>
      <c r="T120" s="2" t="inlineStr">
        <is>
          <t>Focus blocks; down-weighted vs empirical work.</t>
        </is>
      </c>
      <c r="U120" s="2" t="inlineStr">
        <is>
          <t>[to chart]</t>
        </is>
      </c>
      <c r="V120" s="2" t="inlineStr">
        <is>
          <t>[to chart]</t>
        </is>
      </c>
      <c r="W120" s="2" t="inlineStr">
        <is>
          <t>[to chart]</t>
        </is>
      </c>
      <c r="X120" s="2" t="inlineStr">
        <is>
          <t>partial</t>
        </is>
      </c>
      <c r="Y120" s="2" t="inlineStr">
        <is>
          <t>no</t>
        </is>
      </c>
      <c r="Z120" s="2" t="inlineStr">
        <is>
          <t>Translate focus blocks cautiously.</t>
        </is>
      </c>
      <c r="AA120" s="2" t="inlineStr">
        <is>
          <t>Not a fantasy of no interruptions.</t>
        </is>
      </c>
      <c r="AB120" s="2" t="inlineStr">
        <is>
          <t>CF-8</t>
        </is>
      </c>
      <c r="AC120" s="2" t="inlineStr">
        <is>
          <t>Monstare Protocol vNext</t>
        </is>
      </c>
      <c r="AE120" s="2" t="inlineStr">
        <is>
          <t>General supporting source</t>
        </is>
      </c>
      <c r="AF120" s="2" t="inlineStr">
        <is>
          <t>36 months</t>
        </is>
      </c>
      <c r="AG120" s="2" t="inlineStr">
        <is>
          <t>2026-08-13</t>
        </is>
      </c>
      <c r="AH120" s="2" t="inlineStr">
        <is>
          <t>2029-08-13</t>
        </is>
      </c>
      <c r="AI120" s="2" t="inlineStr">
        <is>
          <t>Current - located, access/fit caveat</t>
        </is>
      </c>
    </row>
    <row r="121">
      <c r="A121" s="2" t="inlineStr">
        <is>
          <t>A9-11</t>
        </is>
      </c>
      <c r="B121" s="2" t="inlineStr">
        <is>
          <t>Allen — Getting Things Done</t>
        </is>
      </c>
      <c r="C121" s="2" t="inlineStr">
        <is>
          <t>https://archive.org/details/gettingthingsdon0000alle_g8s9</t>
        </is>
      </c>
      <c r="D121" s="2" t="inlineStr">
        <is>
          <t>https://gettingthingsdone.com/</t>
        </is>
      </c>
      <c r="E121" t="inlineStr">
        <is>
          <t>Archive lending / official GTD site</t>
        </is>
      </c>
      <c r="F121" s="2" t="inlineStr">
        <is>
          <t>Located - restricted readable</t>
        </is>
      </c>
      <c r="G121" s="2" t="inlineStr">
        <is>
          <t>Archive lending and official GTD site located.</t>
        </is>
      </c>
      <c r="H121" s="2" t="inlineStr">
        <is>
          <t>Allen — Getting Things Done pdf DOI readable source</t>
        </is>
      </c>
      <c r="I121" s="4" t="inlineStr">
        <is>
          <t>https://www.google.com/search?q=Allen+%E2%80%94+Getting+Things+Done+pdf+DOI+readable+source</t>
        </is>
      </c>
      <c r="J121" s="2" t="inlineStr">
        <is>
          <t>2026-08-13</t>
        </is>
      </c>
      <c r="K121" s="2" t="inlineStr">
        <is>
          <t>Pending</t>
        </is>
      </c>
      <c r="L121" s="2" t="n">
        <v>9</v>
      </c>
      <c r="M121" s="2" t="inlineStr">
        <is>
          <t>WS-D</t>
        </is>
      </c>
      <c r="N121" s="2" t="inlineStr">
        <is>
          <t>C</t>
        </is>
      </c>
      <c r="O121" s="2" t="inlineStr">
        <is>
          <t>PRACTICE/DESIGN</t>
        </is>
      </c>
      <c r="P121" s="2" t="inlineStr">
        <is>
          <t>practice</t>
        </is>
      </c>
      <c r="Q121" s="2" t="inlineStr">
        <is>
          <t>productivity</t>
        </is>
      </c>
      <c r="R121" s="2" t="inlineStr">
        <is>
          <t>conceptual</t>
        </is>
      </c>
      <c r="S121" s="2" t="inlineStr">
        <is>
          <t>low</t>
        </is>
      </c>
      <c r="T121" s="2" t="inlineStr">
        <is>
          <t>Capture/clarify/organize/review workflow.</t>
        </is>
      </c>
      <c r="U121" s="2" t="inlineStr">
        <is>
          <t>[to chart]</t>
        </is>
      </c>
      <c r="V121" s="2" t="inlineStr">
        <is>
          <t>[to chart]</t>
        </is>
      </c>
      <c r="W121" s="2" t="inlineStr">
        <is>
          <t>[to chart]</t>
        </is>
      </c>
      <c r="X121" s="2" t="inlineStr">
        <is>
          <t>partial</t>
        </is>
      </c>
      <c r="Y121" s="2" t="inlineStr">
        <is>
          <t>no</t>
        </is>
      </c>
      <c r="Z121" s="2" t="inlineStr">
        <is>
          <t>Admin task externalization workflow.</t>
        </is>
      </c>
      <c r="AA121" s="2" t="inlineStr">
        <is>
          <t>Externalize to free attention.</t>
        </is>
      </c>
      <c r="AC121" s="2" t="inlineStr">
        <is>
          <t>Digital Capture Architecture</t>
        </is>
      </c>
      <c r="AE121" s="2" t="inlineStr">
        <is>
          <t>General supporting source</t>
        </is>
      </c>
      <c r="AF121" s="2" t="inlineStr">
        <is>
          <t>36 months</t>
        </is>
      </c>
      <c r="AG121" s="2" t="inlineStr">
        <is>
          <t>2026-08-13</t>
        </is>
      </c>
      <c r="AH121" s="2" t="inlineStr">
        <is>
          <t>2029-08-13</t>
        </is>
      </c>
      <c r="AI121" s="2" t="inlineStr">
        <is>
          <t>Current - located, access/fit caveat</t>
        </is>
      </c>
    </row>
    <row r="122">
      <c r="A122" s="2" t="inlineStr">
        <is>
          <t>A10-01</t>
        </is>
      </c>
      <c r="B122" s="2" t="inlineStr">
        <is>
          <t>Chirkov, Ryan, Kim &amp; Kaplan — Autonomy vs Individualism</t>
        </is>
      </c>
      <c r="C122" s="7" t="inlineStr">
        <is>
          <t>https://selfdeterminationtheory.org/SDT/documents/2003_ChirkovRyanKimKaplan.pdf</t>
        </is>
      </c>
      <c r="D122" s="7" t="inlineStr">
        <is>
          <t>https://doi.org/10.1037/0022-3514.84.1.97</t>
        </is>
      </c>
      <c r="E122" s="6" t="inlineStr">
        <is>
          <t>Open PDF / DOI landing</t>
        </is>
      </c>
      <c r="F122" s="7" t="inlineStr">
        <is>
          <t>Located - readable source</t>
        </is>
      </c>
      <c r="G122" s="2" t="inlineStr">
        <is>
          <t>Open SDT PDF located.</t>
        </is>
      </c>
      <c r="H122" s="2" t="inlineStr">
        <is>
          <t>Chirkov, Ryan, Kim &amp; Kaplan — Autonomy vs Individualism pdf DOI readable source</t>
        </is>
      </c>
      <c r="I122" s="4" t="inlineStr">
        <is>
          <t>https://www.google.com/search?q=Chirkov%2C+Ryan%2C+Kim+%26+Kaplan+%E2%80%94+Autonomy+vs+Individualism+pdf+DOI+readable+source</t>
        </is>
      </c>
      <c r="J122" s="7" t="inlineStr">
        <is>
          <t>2026-08-13</t>
        </is>
      </c>
      <c r="K122" s="7" t="inlineStr">
        <is>
          <t>Located (not charted)</t>
        </is>
      </c>
      <c r="L122" s="2" t="n">
        <v>10</v>
      </c>
      <c r="M122" s="2" t="inlineStr">
        <is>
          <t>WS-A</t>
        </is>
      </c>
      <c r="N122" s="2" t="inlineStr">
        <is>
          <t>A</t>
        </is>
      </c>
      <c r="O122" s="2" t="inlineStr">
        <is>
          <t>CROSS-CULTURAL/CLARIFICATION</t>
        </is>
      </c>
      <c r="P122" s="2" t="inlineStr">
        <is>
          <t>empirical</t>
        </is>
      </c>
      <c r="Q122" s="2" t="inlineStr">
        <is>
          <t>cross-cultural psych</t>
        </is>
      </c>
      <c r="R122" s="2" t="inlineStr">
        <is>
          <t>correlational</t>
        </is>
      </c>
      <c r="S122" s="2" t="inlineStr">
        <is>
          <t>high</t>
        </is>
      </c>
      <c r="T122" s="2" t="inlineStr">
        <is>
          <t>Autonomy-as-volition is distinct from individualism/independence.</t>
        </is>
      </c>
      <c r="U122" s="2" t="inlineStr">
        <is>
          <t>[to chart]</t>
        </is>
      </c>
      <c r="V122" s="2" t="inlineStr">
        <is>
          <t>[to chart]</t>
        </is>
      </c>
      <c r="W122" s="2" t="inlineStr">
        <is>
          <t>[to chart]</t>
        </is>
      </c>
      <c r="X122" s="2" t="inlineStr">
        <is>
          <t>yes</t>
        </is>
      </c>
      <c r="Y122" s="2" t="inlineStr">
        <is>
          <t>yes</t>
        </is>
      </c>
      <c r="Z122" s="2" t="inlineStr">
        <is>
          <t>Prevent cultural misreadings of autonomy.</t>
        </is>
      </c>
      <c r="AA122" s="2" t="inlineStr">
        <is>
          <t>Autonomy is volition, not independence.</t>
        </is>
      </c>
      <c r="AB122" s="2" t="inlineStr">
        <is>
          <t>CF-8</t>
        </is>
      </c>
      <c r="AC122" s="2" t="inlineStr">
        <is>
          <t>Technodiversity &amp; Cultural Fit Sheet</t>
        </is>
      </c>
      <c r="AE122" s="2" t="inlineStr">
        <is>
          <t>Empirical / applied research</t>
        </is>
      </c>
      <c r="AF122" s="2" t="inlineStr">
        <is>
          <t>24 months</t>
        </is>
      </c>
      <c r="AG122" s="2" t="inlineStr">
        <is>
          <t>2026-08-13</t>
        </is>
      </c>
      <c r="AH122" s="2" t="inlineStr">
        <is>
          <t>2028-08-13</t>
        </is>
      </c>
      <c r="AI122" s="2" t="inlineStr">
        <is>
          <t>Current - re-search on schedule</t>
        </is>
      </c>
    </row>
    <row r="123">
      <c r="A123" s="2" t="inlineStr">
        <is>
          <t>A10-02</t>
        </is>
      </c>
      <c r="B123" s="2" t="inlineStr">
        <is>
          <t>Nalipay, King &amp; Cai — Autonomy Across East and West</t>
        </is>
      </c>
      <c r="C123" s="7" t="inlineStr">
        <is>
          <t>https://selfdeterminationtheory.org/wp-content/uploads/2020/02/2020_NalipayaKingbCai_UniversalityofSDT.pdf</t>
        </is>
      </c>
      <c r="D123" s="7" t="inlineStr">
        <is>
          <t>https://doi.org/10.1016/j.adolescence.2019.12.009</t>
        </is>
      </c>
      <c r="E123" s="6" t="inlineStr">
        <is>
          <t>Open PDF / DOI landing</t>
        </is>
      </c>
      <c r="F123" s="7" t="inlineStr">
        <is>
          <t>Located - readable source</t>
        </is>
      </c>
      <c r="G123" s="2" t="inlineStr">
        <is>
          <t>Open SDT PDF located.</t>
        </is>
      </c>
      <c r="H123" s="2" t="inlineStr">
        <is>
          <t>Nalipay, King &amp; Cai — Autonomy Across East and West pdf DOI readable source</t>
        </is>
      </c>
      <c r="I123" s="4" t="inlineStr">
        <is>
          <t>https://www.google.com/search?q=Nalipay%2C+King+%26+Cai+%E2%80%94+Autonomy+Across+East+and+West+pdf+DOI+readable+source</t>
        </is>
      </c>
      <c r="J123" s="7" t="inlineStr">
        <is>
          <t>2026-08-13</t>
        </is>
      </c>
      <c r="K123" s="7" t="inlineStr">
        <is>
          <t>Located (not charted)</t>
        </is>
      </c>
      <c r="L123" s="2" t="n">
        <v>10</v>
      </c>
      <c r="M123" s="2" t="inlineStr">
        <is>
          <t>WS-A</t>
        </is>
      </c>
      <c r="N123" s="2" t="inlineStr">
        <is>
          <t>A</t>
        </is>
      </c>
      <c r="O123" s="2" t="inlineStr">
        <is>
          <t>EMPIRICAL/CROSS-CULTURAL</t>
        </is>
      </c>
      <c r="P123" s="2" t="inlineStr">
        <is>
          <t>empirical</t>
        </is>
      </c>
      <c r="Q123" s="2" t="inlineStr">
        <is>
          <t>cross-cultural psych</t>
        </is>
      </c>
      <c r="R123" s="2" t="inlineStr">
        <is>
          <t>correlational</t>
        </is>
      </c>
      <c r="S123" s="2" t="inlineStr">
        <is>
          <t>high</t>
        </is>
      </c>
      <c r="T123" s="2" t="inlineStr">
        <is>
          <t>Autonomy and relatedness matter across cultures (large PISA sample).</t>
        </is>
      </c>
      <c r="U123" s="2" t="inlineStr">
        <is>
          <t>[to chart]</t>
        </is>
      </c>
      <c r="V123" s="2" t="inlineStr">
        <is>
          <t>[to chart]</t>
        </is>
      </c>
      <c r="W123" s="2" t="inlineStr">
        <is>
          <t>[to chart]</t>
        </is>
      </c>
      <c r="X123" s="2" t="inlineStr">
        <is>
          <t>yes</t>
        </is>
      </c>
      <c r="Y123" s="2" t="inlineStr">
        <is>
          <t>yes</t>
        </is>
      </c>
      <c r="Z123" s="2" t="inlineStr">
        <is>
          <t>Keep autonomy central without Western individualism.</t>
        </is>
      </c>
      <c r="AA123" s="2" t="inlineStr">
        <is>
          <t>Autonomy has cross-cultural relevance.</t>
        </is>
      </c>
      <c r="AB123" s="2" t="inlineStr">
        <is>
          <t>CF-8</t>
        </is>
      </c>
      <c r="AC123" s="2" t="inlineStr">
        <is>
          <t>Technodiversity &amp; Cultural Fit Sheet</t>
        </is>
      </c>
      <c r="AE123" s="2" t="inlineStr">
        <is>
          <t>Fast-moving digital/AI/work trend</t>
        </is>
      </c>
      <c r="AF123" s="2" t="inlineStr">
        <is>
          <t>6 months</t>
        </is>
      </c>
      <c r="AG123" s="2" t="inlineStr">
        <is>
          <t>2026-08-13</t>
        </is>
      </c>
      <c r="AH123" s="2" t="inlineStr">
        <is>
          <t>2027-02-13</t>
        </is>
      </c>
      <c r="AI123" s="2" t="inlineStr">
        <is>
          <t>Current - re-search on schedule</t>
        </is>
      </c>
    </row>
    <row r="124">
      <c r="A124" s="2" t="inlineStr">
        <is>
          <t>A10-03</t>
        </is>
      </c>
      <c r="B124" s="2" t="inlineStr">
        <is>
          <t>Beyers, Soenens &amp; Vansteenkiste — Autonomy in Adolescence</t>
        </is>
      </c>
      <c r="C124" s="7" t="inlineStr">
        <is>
          <t>https://selfdeterminationtheory.org/wp-content/uploads/2024/03/2024_BeyersSoenensVansteenkiste_EJODP.pdf</t>
        </is>
      </c>
      <c r="D124" s="7" t="inlineStr">
        <is>
          <t>https://doi.org/10.1080/17405629.2024.2330734</t>
        </is>
      </c>
      <c r="E124" s="6" t="inlineStr">
        <is>
          <t>Open PDF / DOI landing</t>
        </is>
      </c>
      <c r="F124" s="7" t="inlineStr">
        <is>
          <t>Located - readable source</t>
        </is>
      </c>
      <c r="G124" s="2" t="inlineStr">
        <is>
          <t>Open SDT PDF located.</t>
        </is>
      </c>
      <c r="H124" s="2" t="inlineStr">
        <is>
          <t>Beyers, Soenens &amp; Vansteenkiste — Autonomy in Adolescence pdf DOI readable source</t>
        </is>
      </c>
      <c r="I124" s="4" t="inlineStr">
        <is>
          <t>https://www.google.com/search?q=Beyers%2C+Soenens+%26+Vansteenkiste+%E2%80%94+Autonomy+in+Adolescence+pdf+DOI+readable+source</t>
        </is>
      </c>
      <c r="J124" s="7" t="inlineStr">
        <is>
          <t>2026-08-13</t>
        </is>
      </c>
      <c r="K124" s="7" t="inlineStr">
        <is>
          <t>Located (not charted)</t>
        </is>
      </c>
      <c r="L124" s="2" t="n">
        <v>10</v>
      </c>
      <c r="M124" s="2" t="inlineStr">
        <is>
          <t>WS-J</t>
        </is>
      </c>
      <c r="N124" s="2" t="inlineStr">
        <is>
          <t>A</t>
        </is>
      </c>
      <c r="O124" s="2" t="inlineStr">
        <is>
          <t>REVIEW/CLARIFICATION</t>
        </is>
      </c>
      <c r="P124" s="2" t="inlineStr">
        <is>
          <t>review</t>
        </is>
      </c>
      <c r="Q124" s="2" t="inlineStr">
        <is>
          <t>developmental psych</t>
        </is>
      </c>
      <c r="R124" s="2" t="inlineStr">
        <is>
          <t>conceptual</t>
        </is>
      </c>
      <c r="S124" s="2" t="inlineStr">
        <is>
          <t>medium</t>
        </is>
      </c>
      <c r="T124" s="2" t="inlineStr">
        <is>
          <t>Distinguishes autonomy-as-independence from autonomy-as-volition.</t>
        </is>
      </c>
      <c r="U124" s="2" t="inlineStr">
        <is>
          <t>[to chart]</t>
        </is>
      </c>
      <c r="V124" s="2" t="inlineStr">
        <is>
          <t>[to chart]</t>
        </is>
      </c>
      <c r="W124" s="2" t="inlineStr">
        <is>
          <t>[to chart]</t>
        </is>
      </c>
      <c r="X124" s="2" t="inlineStr">
        <is>
          <t>yes</t>
        </is>
      </c>
      <c r="Y124" s="2" t="inlineStr">
        <is>
          <t>partial</t>
        </is>
      </c>
      <c r="Z124" s="2" t="inlineStr">
        <is>
          <t>Define autonomy precisely.</t>
        </is>
      </c>
      <c r="AA124" s="2" t="inlineStr">
        <is>
          <t>Volitional functioning.</t>
        </is>
      </c>
      <c r="AC124" s="2" t="inlineStr">
        <is>
          <t>Construct Dictionary</t>
        </is>
      </c>
      <c r="AE124" s="2" t="inlineStr">
        <is>
          <t>Empirical / applied research</t>
        </is>
      </c>
      <c r="AF124" s="2" t="inlineStr">
        <is>
          <t>24 months</t>
        </is>
      </c>
      <c r="AG124" s="2" t="inlineStr">
        <is>
          <t>2026-08-13</t>
        </is>
      </c>
      <c r="AH124" s="2" t="inlineStr">
        <is>
          <t>2028-08-13</t>
        </is>
      </c>
      <c r="AI124" s="2" t="inlineStr">
        <is>
          <t>Current - re-search on schedule</t>
        </is>
      </c>
    </row>
    <row r="125">
      <c r="A125" s="2" t="inlineStr">
        <is>
          <t>A10-04</t>
        </is>
      </c>
      <c r="B125" s="2" t="inlineStr">
        <is>
          <t>Markus &amp; Kitayama — Culture and the Self</t>
        </is>
      </c>
      <c r="C125" s="7" t="inlineStr">
        <is>
          <t>https://web.mit.edu/curhan/www/docs/Articles/15341_Readings/Influence_Compliance/Markus_Kitayama_1991_Culture_and_the_self.pdf</t>
        </is>
      </c>
      <c r="D125" s="7" t="inlineStr">
        <is>
          <t>https://doi.org/10.1037/0033-295X.98.2.224</t>
        </is>
      </c>
      <c r="E125" s="6" t="inlineStr">
        <is>
          <t>Open PDF / DOI landing</t>
        </is>
      </c>
      <c r="F125" s="7" t="inlineStr">
        <is>
          <t>Located - readable source</t>
        </is>
      </c>
      <c r="G125" s="2" t="inlineStr">
        <is>
          <t>Open MIT-hosted PDF located.</t>
        </is>
      </c>
      <c r="H125" s="2" t="inlineStr">
        <is>
          <t>Markus &amp; Kitayama — Culture and the Self pdf DOI readable source</t>
        </is>
      </c>
      <c r="I125" s="4" t="inlineStr">
        <is>
          <t>https://www.google.com/search?q=Markus+%26+Kitayama+%E2%80%94+Culture+and+the+Self+pdf+DOI+readable+source</t>
        </is>
      </c>
      <c r="J125" s="7" t="inlineStr">
        <is>
          <t>2026-08-13</t>
        </is>
      </c>
      <c r="K125" s="7" t="inlineStr">
        <is>
          <t>Located (not charted)</t>
        </is>
      </c>
      <c r="L125" s="2" t="n">
        <v>10</v>
      </c>
      <c r="M125" s="2" t="inlineStr">
        <is>
          <t>WS-J</t>
        </is>
      </c>
      <c r="N125" s="2" t="inlineStr">
        <is>
          <t>A</t>
        </is>
      </c>
      <c r="O125" s="2" t="inlineStr">
        <is>
          <t>CROSS-CULTURAL</t>
        </is>
      </c>
      <c r="P125" s="2" t="inlineStr">
        <is>
          <t>theoretical</t>
        </is>
      </c>
      <c r="Q125" s="2" t="inlineStr">
        <is>
          <t>cultural psych</t>
        </is>
      </c>
      <c r="R125" s="2" t="inlineStr">
        <is>
          <t>conceptual</t>
        </is>
      </c>
      <c r="S125" s="2" t="inlineStr">
        <is>
          <t>medium</t>
        </is>
      </c>
      <c r="T125" s="2" t="inlineStr">
        <is>
          <t>Independent vs interdependent self-construal.</t>
        </is>
      </c>
      <c r="U125" s="2" t="inlineStr">
        <is>
          <t>[to chart]</t>
        </is>
      </c>
      <c r="V125" s="2" t="inlineStr">
        <is>
          <t>[to chart]</t>
        </is>
      </c>
      <c r="W125" s="2" t="inlineStr">
        <is>
          <t>[to chart]</t>
        </is>
      </c>
      <c r="X125" s="2" t="inlineStr">
        <is>
          <t>partial</t>
        </is>
      </c>
      <c r="Y125" s="2" t="inlineStr">
        <is>
          <t>partial</t>
        </is>
      </c>
      <c r="Z125" s="2" t="inlineStr">
        <is>
          <t>Social embeddedness of motivation/identity.</t>
        </is>
      </c>
      <c r="AA125" s="2" t="inlineStr">
        <is>
          <t>Self is culturally shaped.</t>
        </is>
      </c>
      <c r="AB125" s="2" t="inlineStr">
        <is>
          <t>CF-8</t>
        </is>
      </c>
      <c r="AC125" s="2" t="inlineStr">
        <is>
          <t>Technodiversity &amp; Cultural Fit Sheet</t>
        </is>
      </c>
      <c r="AE125" s="2" t="inlineStr">
        <is>
          <t>Philosophical / historical / theoretical</t>
        </is>
      </c>
      <c r="AF125" s="2" t="inlineStr">
        <is>
          <t>60 months</t>
        </is>
      </c>
      <c r="AG125" s="2" t="inlineStr">
        <is>
          <t>2026-08-13</t>
        </is>
      </c>
      <c r="AH125" s="2" t="inlineStr">
        <is>
          <t>2031-08-13</t>
        </is>
      </c>
      <c r="AI125" s="2" t="inlineStr">
        <is>
          <t>Current - re-search on schedule</t>
        </is>
      </c>
    </row>
    <row r="126">
      <c r="A126" s="2" t="inlineStr">
        <is>
          <t>A10-05</t>
        </is>
      </c>
      <c r="B126" s="2" t="inlineStr">
        <is>
          <t>Henrich, Heine &amp; Norenzayan — The Weirdest People in the World?</t>
        </is>
      </c>
      <c r="C126" s="2" t="inlineStr">
        <is>
          <t>https://www2.psych.ubc.ca/~henrich/pdfs/WeirdPeople.pdf</t>
        </is>
      </c>
      <c r="D126" s="2" t="inlineStr">
        <is>
          <t>https://doi.org/10.1017/S0140525X0999152X</t>
        </is>
      </c>
      <c r="E126" t="inlineStr">
        <is>
          <t>Open PDF / DOI landing</t>
        </is>
      </c>
      <c r="F126" s="2" t="inlineStr">
        <is>
          <t>Located - readable source</t>
        </is>
      </c>
      <c r="G126" s="2" t="inlineStr">
        <is>
          <t>UBC-hosted PDF and DOI located.</t>
        </is>
      </c>
      <c r="H126" s="2" t="inlineStr">
        <is>
          <t>Henrich, Heine &amp; Norenzayan — The Weirdest People in the World? pdf DOI readable source</t>
        </is>
      </c>
      <c r="I126" s="4" t="inlineStr">
        <is>
          <t>https://www.google.com/search?q=Henrich%2C+Heine+%26+Norenzayan+%E2%80%94+The+Weirdest+People+in+the+World%3F+pdf+DOI+readable+source</t>
        </is>
      </c>
      <c r="J126" s="2" t="inlineStr">
        <is>
          <t>2026-08-13</t>
        </is>
      </c>
      <c r="K126" s="2" t="inlineStr">
        <is>
          <t>Pending</t>
        </is>
      </c>
      <c r="L126" s="2" t="n">
        <v>10</v>
      </c>
      <c r="M126" s="2" t="inlineStr">
        <is>
          <t>WS-J</t>
        </is>
      </c>
      <c r="N126" s="2" t="inlineStr">
        <is>
          <t>B</t>
        </is>
      </c>
      <c r="O126" s="2" t="inlineStr">
        <is>
          <t>WARNING/METHOD</t>
        </is>
      </c>
      <c r="P126" s="2" t="inlineStr">
        <is>
          <t>review</t>
        </is>
      </c>
      <c r="Q126" s="2" t="inlineStr">
        <is>
          <t>psychology</t>
        </is>
      </c>
      <c r="R126" s="2" t="inlineStr">
        <is>
          <t>conceptual</t>
        </is>
      </c>
      <c r="S126" s="2" t="inlineStr">
        <is>
          <t>medium</t>
        </is>
      </c>
      <c r="T126" s="2" t="inlineStr">
        <is>
          <t>Western samples do not straightforwardly generalize.</t>
        </is>
      </c>
      <c r="U126" s="2" t="inlineStr">
        <is>
          <t>[to chart]</t>
        </is>
      </c>
      <c r="V126" s="2" t="inlineStr">
        <is>
          <t>[to chart]</t>
        </is>
      </c>
      <c r="W126" s="2" t="inlineStr">
        <is>
          <t>[to chart]</t>
        </is>
      </c>
      <c r="X126" s="2" t="inlineStr">
        <is>
          <t>no</t>
        </is>
      </c>
      <c r="Y126" s="2" t="inlineStr">
        <is>
          <t>partial</t>
        </is>
      </c>
      <c r="Z126" s="2" t="inlineStr">
        <is>
          <t>Caution against WEIRD over-generalization.</t>
        </is>
      </c>
      <c r="AA126" s="2" t="inlineStr">
        <is>
          <t>Sample bias warning.</t>
        </is>
      </c>
      <c r="AB126" s="2" t="inlineStr">
        <is>
          <t>CF-8</t>
        </is>
      </c>
      <c r="AC126" s="2" t="inlineStr">
        <is>
          <t>Findings &amp; Fault Lines Memo</t>
        </is>
      </c>
      <c r="AD126" s="2" t="inlineStr">
        <is>
          <t>OC-5</t>
        </is>
      </c>
      <c r="AE126" s="2" t="inlineStr">
        <is>
          <t>Empirical / applied research</t>
        </is>
      </c>
      <c r="AF126" s="2" t="inlineStr">
        <is>
          <t>24 months</t>
        </is>
      </c>
      <c r="AG126" s="2" t="inlineStr">
        <is>
          <t>2026-08-13</t>
        </is>
      </c>
      <c r="AH126" s="2" t="inlineStr">
        <is>
          <t>2028-08-13</t>
        </is>
      </c>
      <c r="AI126" s="2" t="inlineStr">
        <is>
          <t>Current - re-search on schedule</t>
        </is>
      </c>
    </row>
    <row r="127">
      <c r="A127" s="2" t="inlineStr">
        <is>
          <t>A10-06</t>
        </is>
      </c>
      <c r="B127" s="2" t="inlineStr">
        <is>
          <t>Schweder — Thinking Through Cultures</t>
        </is>
      </c>
      <c r="C127" s="2" t="inlineStr">
        <is>
          <t>https://archive.org/details/thinkingthroughc0000unse</t>
        </is>
      </c>
      <c r="D127" s="2" t="inlineStr">
        <is>
          <t>https://www.hup.harvard.edu/books/9780674884168</t>
        </is>
      </c>
      <c r="E127" t="inlineStr">
        <is>
          <t>Archive lending / publisher landing</t>
        </is>
      </c>
      <c r="F127" s="2" t="inlineStr">
        <is>
          <t>Located - restricted readable</t>
        </is>
      </c>
      <c r="G127" s="2" t="inlineStr">
        <is>
          <t>Archive lending and Harvard University Press landing located.</t>
        </is>
      </c>
      <c r="H127" s="2" t="inlineStr">
        <is>
          <t>Schweder — Thinking Through Cultures pdf DOI readable source</t>
        </is>
      </c>
      <c r="I127" s="4" t="inlineStr">
        <is>
          <t>https://www.google.com/search?q=Schweder+%E2%80%94+Thinking+Through+Cultures+pdf+DOI+readable+source</t>
        </is>
      </c>
      <c r="J127" s="2" t="inlineStr">
        <is>
          <t>2026-08-13</t>
        </is>
      </c>
      <c r="K127" s="2" t="inlineStr">
        <is>
          <t>Pending</t>
        </is>
      </c>
      <c r="L127" s="2" t="n">
        <v>10</v>
      </c>
      <c r="M127" s="2" t="inlineStr">
        <is>
          <t>WS-K</t>
        </is>
      </c>
      <c r="N127" s="2" t="inlineStr">
        <is>
          <t>B</t>
        </is>
      </c>
      <c r="O127" s="2" t="inlineStr">
        <is>
          <t>CROSS-CULTURAL/TELOS</t>
        </is>
      </c>
      <c r="P127" s="2" t="inlineStr">
        <is>
          <t>theoretical</t>
        </is>
      </c>
      <c r="Q127" s="2" t="inlineStr">
        <is>
          <t>cultural psych</t>
        </is>
      </c>
      <c r="R127" s="2" t="inlineStr">
        <is>
          <t>conceptual</t>
        </is>
      </c>
      <c r="S127" s="2" t="inlineStr">
        <is>
          <t>low</t>
        </is>
      </c>
      <c r="T127" s="2" t="inlineStr">
        <is>
          <t>Plural moral worlds.</t>
        </is>
      </c>
      <c r="U127" s="2" t="inlineStr">
        <is>
          <t>[to chart]</t>
        </is>
      </c>
      <c r="V127" s="2" t="inlineStr">
        <is>
          <t>[to chart]</t>
        </is>
      </c>
      <c r="W127" s="2" t="inlineStr">
        <is>
          <t>[to chart]</t>
        </is>
      </c>
      <c r="X127" s="2" t="inlineStr">
        <is>
          <t>no</t>
        </is>
      </c>
      <c r="Y127" s="2" t="inlineStr">
        <is>
          <t>yes</t>
        </is>
      </c>
      <c r="Z127" s="2" t="inlineStr">
        <is>
          <t>Support moral plurality.</t>
        </is>
      </c>
      <c r="AA127" s="2" t="inlineStr">
        <is>
          <t>Many moral orders.</t>
        </is>
      </c>
      <c r="AB127" s="2" t="inlineStr">
        <is>
          <t>CF-8</t>
        </is>
      </c>
      <c r="AC127" s="2" t="inlineStr">
        <is>
          <t>Technodiversity &amp; Cultural Fit Sheet</t>
        </is>
      </c>
      <c r="AE127" s="2" t="inlineStr">
        <is>
          <t>Philosophical / historical / theoretical</t>
        </is>
      </c>
      <c r="AF127" s="2" t="inlineStr">
        <is>
          <t>60 months</t>
        </is>
      </c>
      <c r="AG127" s="2" t="inlineStr">
        <is>
          <t>2026-08-13</t>
        </is>
      </c>
      <c r="AH127" s="2" t="inlineStr">
        <is>
          <t>2031-08-13</t>
        </is>
      </c>
      <c r="AI127" s="2" t="inlineStr">
        <is>
          <t>Current - located, access/fit caveat</t>
        </is>
      </c>
    </row>
    <row r="128">
      <c r="A128" s="2" t="inlineStr">
        <is>
          <t>A10-07</t>
        </is>
      </c>
      <c r="B128" s="2" t="inlineStr">
        <is>
          <t>Nisbett — The Geography of Thought</t>
        </is>
      </c>
      <c r="C128" s="2" t="inlineStr">
        <is>
          <t>https://archive.org/details/geographyofthoug00nisb</t>
        </is>
      </c>
      <c r="D128" s="2" t="inlineStr">
        <is>
          <t>https://openlibrary.org/books/OL7927071M/The_Geography_of_Thought</t>
        </is>
      </c>
      <c r="E128" t="inlineStr">
        <is>
          <t>Archive lending / Open Library landing</t>
        </is>
      </c>
      <c r="F128" s="2" t="inlineStr">
        <is>
          <t>Located - restricted readable</t>
        </is>
      </c>
      <c r="G128" s="2" t="inlineStr">
        <is>
          <t>Archive lending and Open Library path located.</t>
        </is>
      </c>
      <c r="H128" s="2" t="inlineStr">
        <is>
          <t>Nisbett — The Geography of Thought pdf DOI readable source</t>
        </is>
      </c>
      <c r="I128" s="4" t="inlineStr">
        <is>
          <t>https://www.google.com/search?q=Nisbett+%E2%80%94+The+Geography+of+Thought+pdf+DOI+readable+source</t>
        </is>
      </c>
      <c r="J128" s="2" t="inlineStr">
        <is>
          <t>2026-08-13</t>
        </is>
      </c>
      <c r="K128" s="2" t="inlineStr">
        <is>
          <t>Pending</t>
        </is>
      </c>
      <c r="L128" s="2" t="n">
        <v>10</v>
      </c>
      <c r="M128" s="2" t="inlineStr">
        <is>
          <t>WS-J</t>
        </is>
      </c>
      <c r="N128" s="2" t="inlineStr">
        <is>
          <t>B</t>
        </is>
      </c>
      <c r="O128" s="2" t="inlineStr">
        <is>
          <t>CROSS-CULTURAL/COGNITION</t>
        </is>
      </c>
      <c r="P128" s="2" t="inlineStr">
        <is>
          <t>empirical</t>
        </is>
      </c>
      <c r="Q128" s="2" t="inlineStr">
        <is>
          <t>cultural psych</t>
        </is>
      </c>
      <c r="R128" s="2" t="inlineStr">
        <is>
          <t>correlational</t>
        </is>
      </c>
      <c r="S128" s="2" t="inlineStr">
        <is>
          <t>low</t>
        </is>
      </c>
      <c r="T128" s="2" t="inlineStr">
        <is>
          <t>Cognitive style differences across cultures.</t>
        </is>
      </c>
      <c r="U128" s="2" t="inlineStr">
        <is>
          <t>[to chart]</t>
        </is>
      </c>
      <c r="V128" s="2" t="inlineStr">
        <is>
          <t>[to chart]</t>
        </is>
      </c>
      <c r="W128" s="2" t="inlineStr">
        <is>
          <t>[to chart]</t>
        </is>
      </c>
      <c r="X128" s="2" t="inlineStr">
        <is>
          <t>no</t>
        </is>
      </c>
      <c r="Y128" s="2" t="inlineStr">
        <is>
          <t>partial</t>
        </is>
      </c>
      <c r="Z128" s="2" t="inlineStr">
        <is>
          <t>Cognitive-style variation.</t>
        </is>
      </c>
      <c r="AA128" s="2" t="inlineStr">
        <is>
          <t>Thought is culturally patterned.</t>
        </is>
      </c>
      <c r="AB128" s="2" t="inlineStr">
        <is>
          <t>CF-8</t>
        </is>
      </c>
      <c r="AC128" s="2" t="inlineStr">
        <is>
          <t>Construct Dictionary</t>
        </is>
      </c>
      <c r="AE128" s="2" t="inlineStr">
        <is>
          <t>Empirical / applied research</t>
        </is>
      </c>
      <c r="AF128" s="2" t="inlineStr">
        <is>
          <t>24 months</t>
        </is>
      </c>
      <c r="AG128" s="2" t="inlineStr">
        <is>
          <t>2026-08-13</t>
        </is>
      </c>
      <c r="AH128" s="2" t="inlineStr">
        <is>
          <t>2028-08-13</t>
        </is>
      </c>
      <c r="AI128" s="2" t="inlineStr">
        <is>
          <t>Current - located, access/fit caveat</t>
        </is>
      </c>
    </row>
    <row r="129">
      <c r="A129" s="2" t="inlineStr">
        <is>
          <t>A10-08</t>
        </is>
      </c>
      <c r="B129" s="2" t="inlineStr">
        <is>
          <t>Technodiversity project / ITS Rio (white paper &amp; library)</t>
        </is>
      </c>
      <c r="C129" s="2" t="inlineStr">
        <is>
          <t>https://itsrio.org/wp-content/uploads/2016/12/WhitePaper-Technodiversity.pdf</t>
        </is>
      </c>
      <c r="D129" s="2" t="inlineStr">
        <is>
          <t>https://www.technodiversity.org/white-paper</t>
        </is>
      </c>
      <c r="E129" t="inlineStr">
        <is>
          <t>Open white paper PDF / project landing</t>
        </is>
      </c>
      <c r="F129" s="2" t="inlineStr">
        <is>
          <t>Located - readable source</t>
        </is>
      </c>
      <c r="G129" s="2" t="inlineStr">
        <is>
          <t>ITS Rio/Technodiversity white paper and project landing located.</t>
        </is>
      </c>
      <c r="H129" s="2" t="inlineStr">
        <is>
          <t>Technodiversity project / ITS Rio (white paper &amp; library) pdf DOI readable source</t>
        </is>
      </c>
      <c r="I129" s="4" t="inlineStr">
        <is>
          <t>https://www.google.com/search?q=Technodiversity+project+%2F+ITS+Rio+%28white+paper+%26+library%29+pdf+DOI+readable+source</t>
        </is>
      </c>
      <c r="J129" s="2" t="inlineStr">
        <is>
          <t>2026-08-13</t>
        </is>
      </c>
      <c r="K129" s="2" t="inlineStr">
        <is>
          <t>Pending</t>
        </is>
      </c>
      <c r="L129" s="2" t="n">
        <v>10</v>
      </c>
      <c r="M129" s="2" t="inlineStr">
        <is>
          <t>WS-K</t>
        </is>
      </c>
      <c r="N129" s="2" t="inlineStr">
        <is>
          <t>B</t>
        </is>
      </c>
      <c r="O129" s="2" t="inlineStr">
        <is>
          <t>CONTEXT</t>
        </is>
      </c>
      <c r="P129" s="2" t="inlineStr">
        <is>
          <t>review</t>
        </is>
      </c>
      <c r="Q129" s="2" t="inlineStr">
        <is>
          <t>policy/tech</t>
        </is>
      </c>
      <c r="R129" s="2" t="inlineStr">
        <is>
          <t>conceptual</t>
        </is>
      </c>
      <c r="S129" s="2" t="inlineStr">
        <is>
          <t>medium</t>
        </is>
      </c>
      <c r="T129" s="2" t="inlineStr">
        <is>
          <t>Contemporary applied technodiversity framing.</t>
        </is>
      </c>
      <c r="U129" s="2" t="inlineStr">
        <is>
          <t>[to chart]</t>
        </is>
      </c>
      <c r="V129" s="2" t="inlineStr">
        <is>
          <t>[to chart]</t>
        </is>
      </c>
      <c r="W129" s="2" t="inlineStr">
        <is>
          <t>[to chart]</t>
        </is>
      </c>
      <c r="X129" s="2" t="inlineStr">
        <is>
          <t>no</t>
        </is>
      </c>
      <c r="Y129" s="2" t="inlineStr">
        <is>
          <t>yes</t>
        </is>
      </c>
      <c r="Z129" s="2" t="inlineStr">
        <is>
          <t>Applied technodiversity at scale.</t>
        </is>
      </c>
      <c r="AA129" s="2" t="inlineStr">
        <is>
          <t>Plurality of technical forms.</t>
        </is>
      </c>
      <c r="AB129" s="2" t="inlineStr">
        <is>
          <t>CF-8</t>
        </is>
      </c>
      <c r="AC129" s="2" t="inlineStr">
        <is>
          <t>Technodiversity &amp; Cultural Fit Sheet</t>
        </is>
      </c>
      <c r="AD129" s="2" t="inlineStr">
        <is>
          <t>OC-11</t>
        </is>
      </c>
      <c r="AE129" s="2" t="inlineStr">
        <is>
          <t>Empirical / applied research</t>
        </is>
      </c>
      <c r="AF129" s="2" t="inlineStr">
        <is>
          <t>24 months</t>
        </is>
      </c>
      <c r="AG129" s="2" t="inlineStr">
        <is>
          <t>2026-08-13</t>
        </is>
      </c>
      <c r="AH129" s="2" t="inlineStr">
        <is>
          <t>2028-08-13</t>
        </is>
      </c>
      <c r="AI129" s="2" t="inlineStr">
        <is>
          <t>Current - re-search on schedule</t>
        </is>
      </c>
    </row>
    <row r="130">
      <c r="A130" s="2" t="inlineStr">
        <is>
          <t>HUI-2024</t>
        </is>
      </c>
      <c r="B130" s="2" t="inlineStr">
        <is>
          <t>Hui — Machine and Sovereignty: For a Planetary Thinking</t>
        </is>
      </c>
      <c r="C130" s="4" t="inlineStr">
        <is>
          <t>https://philpapers.org/archive/HUIMAS.pdf</t>
        </is>
      </c>
      <c r="D130" s="4" t="inlineStr">
        <is>
          <t>https://manifold.umn.edu/projects/machine-and-sovereignty</t>
        </is>
      </c>
      <c r="E130" s="2" t="inlineStr">
        <is>
          <t>Open access PDF and online book</t>
        </is>
      </c>
      <c r="F130" s="2" t="inlineStr">
        <is>
          <t>Companion source found - not a matrix row unless added</t>
        </is>
      </c>
      <c r="G130" s="2" t="inlineStr">
        <is>
          <t>This is a governing source in the design memo and handoff, not currently a distinct matrix row unless added as a core/source row.; LOCAL COPY 2026-08-13: verified full text at /opt/data/machine and sovereignty yuk hui.pdf (352p, Univ. of Minnesota Press open-access edition, text layer OK) - same edition as the philpapers readable URL.; CHARTED 2026-08-13 batch 1 (motivational/cosmotechnic spine; full role QC pass)</t>
        </is>
      </c>
      <c r="H130" s="2" t="inlineStr">
        <is>
          <t>Hui — Machine and Sovereignty: For a Planetary Thinking pdf DOI readable source</t>
        </is>
      </c>
      <c r="I130" s="4" t="inlineStr">
        <is>
          <t>https://www.google.com/search?q=Hui+%E2%80%94+Machine+and+Sovereignty%3A+For+a+Planetary+Thinking+pdf+DOI+readable+source</t>
        </is>
      </c>
      <c r="J130" s="2" t="inlineStr">
        <is>
          <t>2026-08-13</t>
        </is>
      </c>
      <c r="K130" s="2" t="inlineStr">
        <is>
          <t>Charted - 2026-08-13</t>
        </is>
      </c>
      <c r="L130" s="2" t="inlineStr">
        <is>
          <t>core+methods</t>
        </is>
      </c>
      <c r="M130" s="2" t="inlineStr">
        <is>
          <t>WS-K</t>
        </is>
      </c>
      <c r="N130" s="2" t="inlineStr">
        <is>
          <t>A</t>
        </is>
      </c>
      <c r="O130" s="2" t="inlineStr">
        <is>
          <t>TELOS/CRITIQUE</t>
        </is>
      </c>
      <c r="P130" s="2" t="inlineStr">
        <is>
          <t>philosophical</t>
        </is>
      </c>
      <c r="Q130" s="2" t="inlineStr">
        <is>
          <t>philosophy of technology</t>
        </is>
      </c>
      <c r="R130" s="2" t="inlineStr">
        <is>
          <t>conceptual</t>
        </is>
      </c>
      <c r="S130" s="2" t="inlineStr">
        <is>
          <t>high</t>
        </is>
      </c>
      <c r="T130" s="2" t="inlineStr">
        <is>
          <t>Third and final volume of the Recursivity &amp; Contingency series (after Art and Cosmotechnics 2021); a 'Tractatus Politico-Technologicus': political philosophy can no longer avoid technology; introduces 'political epistemology' as the method (following Mumford's megamachine - political epistemology legitimates and guides it); engages Hegel's nation-state and Schmitt's Grossraum as the two modern political forms a future planetary thinking must surpass; core agenda: technodiversity (biodiversity-noodiversity-technodiversity), an organology of wars, the Nomos of the Digital Earth, digital sovereignty, the prosthetic future critique (acceleration/automation; exosomatization framing: the human is 'largely dependent on exosomatization' and 'the question of morality should be considered from an exosomatic point of view', print p.99), epistemological diplomacy, locality without localism.</t>
        </is>
      </c>
      <c r="U130" s="2" t="inlineStr">
        <is>
          <t>not_quantifiable (philosophical). Strength = high as the v6 scaffold/anti-veneer standard (construct-role claim).</t>
        </is>
      </c>
      <c r="V130" s="2" t="inlineStr">
        <is>
          <t>Programmatic and speculative; architectonic rather than empirically demonstrated; dense Hegel/Schmitt exegesis; single-author; open-access UMN 2024 edition verified (local copy /opt/data/machine and sovereignty yuk hui.pdf, 352p; CC BY-NC-ND 4.0); audit criteria (technodiversity, organology/proportion, prosthesis vs replacement) require operationalization before use in the Cosmotechnic Audit Card - unoperationalized they risk category error (normative heuristic treated as measurable construct).</t>
        </is>
      </c>
      <c r="W130" s="2" t="inlineStr">
        <is>
          <t>If nation-state and Grossraum are not the binding constraints on contemporary digital power (platform/network sovereignty differs from territorial), the planetary framing may miss emergent forms; if technodiversity is read as valorizing any difference (relativism), the anti-localism guard weakens; acceleration/automation may outpace organological critique; if planetary thinking remains a European project in disguise, its universality claim is strained.</t>
        </is>
      </c>
      <c r="X130" s="2" t="inlineStr">
        <is>
          <t>partial</t>
        </is>
      </c>
      <c r="Y130" s="2" t="inlineStr">
        <is>
          <t>yes</t>
        </is>
      </c>
      <c r="Z130" s="2" t="inlineStr">
        <is>
          <t>Govern cosmotechnic criteria: technodiversity, organology/proportion, prosthesis vs replacement, locality/localism - Cosmotechnic Audit Card / Design Memo v6; operationalize each criterion before use.</t>
        </is>
      </c>
      <c r="AA130" s="2" t="inlineStr">
        <is>
          <t>Primary v6 cosmotechnic scaffold and anti-veneer standard; the tool must remain a locality capable of revision, not a localism hardened into identity (S10). (No revision: matches the source agenda cleanly.)</t>
        </is>
      </c>
      <c r="AB130" s="2" t="inlineStr">
        <is>
          <t>CF-10</t>
        </is>
      </c>
      <c r="AC130" s="2" t="inlineStr">
        <is>
          <t>Cosmotechnic Audit Card / Design Memo v6</t>
        </is>
      </c>
      <c r="AD130" s="2" t="inlineStr">
        <is>
          <t>OC-7</t>
        </is>
      </c>
      <c r="AE130" s="2" t="inlineStr">
        <is>
          <t>Methods / reporting standards</t>
        </is>
      </c>
      <c r="AF130" s="2" t="inlineStr">
        <is>
          <t>36 months</t>
        </is>
      </c>
      <c r="AG130" s="2" t="inlineStr">
        <is>
          <t>2026-08-13</t>
        </is>
      </c>
      <c r="AH130" s="2" t="inlineStr">
        <is>
          <t>2029-08-13</t>
        </is>
      </c>
      <c r="AI130" s="2" t="inlineStr">
        <is>
          <t>Current - re-search on schedule</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1"/>
  <sheetViews>
    <sheetView zoomScaleNormal="100" zoomScaleSheetLayoutView="100" workbookViewId="0">
      <selection activeCell="A1" sqref="A1"/>
    </sheetView>
  </sheetViews>
  <sheetFormatPr baseColWidth="8" defaultRowHeight="15"/>
  <cols>
    <col width="28" customWidth="1" min="1" max="7"/>
  </cols>
  <sheetData>
    <row r="1">
      <c r="A1" s="11" t="inlineStr">
        <is>
          <t>Patch Date</t>
        </is>
      </c>
      <c r="B1" s="11" t="inlineStr">
        <is>
          <t>Patch Type</t>
        </is>
      </c>
      <c r="C1" s="11" t="inlineStr">
        <is>
          <t>Rows Updated</t>
        </is>
      </c>
      <c r="D1" s="11" t="inlineStr">
        <is>
          <t>Columns Added</t>
        </is>
      </c>
      <c r="E1" s="11" t="inlineStr">
        <is>
          <t>Rows Removed</t>
        </is>
      </c>
      <c r="F1" s="11" t="inlineStr">
        <is>
          <t>Existing Source Cells Removed</t>
        </is>
      </c>
      <c r="G1" s="11" t="inlineStr">
        <is>
          <t>Notes</t>
        </is>
      </c>
    </row>
    <row r="2">
      <c r="A2" s="2" t="inlineStr">
        <is>
          <t>2026-08-13</t>
        </is>
      </c>
      <c r="B2" s="2" t="inlineStr">
        <is>
          <t>Additive patch</t>
        </is>
      </c>
      <c r="C2" s="2" t="n">
        <v>38</v>
      </c>
      <c r="D2" s="2" t="inlineStr">
        <is>
          <t>Staleness Domain, Re-search Interval, Last Verified Date, Re-search By, Staleness Status</t>
        </is>
      </c>
      <c r="E2" s="2" t="n">
        <v>0</v>
      </c>
      <c r="F2" s="2" t="n">
        <v>0</v>
      </c>
      <c r="G2" s="2" t="inlineStr">
        <is>
          <t>Patched staleness columns at workbook end and completed source-location pass for all previously queued/missing rows. Existing source links were preserved; only queued rows were filled.</t>
        </is>
      </c>
    </row>
    <row r="3">
      <c r="A3" s="2" t="inlineStr">
        <is>
          <t>2026-08-13</t>
        </is>
      </c>
      <c r="B3" s="2" t="inlineStr">
        <is>
          <t>Source rows completed</t>
        </is>
      </c>
      <c r="C3" s="2" t="inlineStr">
        <is>
          <t>A1-15, A1-16, A1-17, A1-18, A1-19, A3-07, A3-08, A3-09, A3-10, A4-07, A4-08, A4-09, A4-10, A5-07, A5-08, A5-09, A5-10, A6-07, A6-08, A6-09, A6-10, A7-07, A7-08, A7-09, A7-10, A8-07, A8-08, A8-09, A8-10, A9-07, A9-08, A9-09, A9-10, A9-11, A10-05, A10-06, A10-07, A10-08</t>
        </is>
      </c>
      <c r="D3" s="2" t="inlineStr"/>
      <c r="E3" s="2" t="inlineStr"/>
      <c r="F3" s="2" t="inlineStr"/>
      <c r="G3" s="2" t="inlineStr">
        <is>
          <t>Rows were source-located, not evidentially charted. Citation is still not evidence.</t>
        </is>
      </c>
    </row>
    <row r="4">
      <c r="A4" t="inlineStr">
        <is>
          <t>2026-08-13</t>
        </is>
      </c>
      <c r="B4" t="inlineStr">
        <is>
          <t>Additive patch - link replacements (audit-driven)</t>
        </is>
      </c>
      <c r="C4" t="inlineStr">
        <is>
          <t>CORE-04, CORE-06, CORE-07, CORE-09, CORE-10, CORE-15, CORE-20, A1-05, A1-06, A1-07, A1-08, A1-09, A2-05, A3-04, A3-05, A3-09, A4-02 (17 rows) + HUI-2024 note</t>
        </is>
      </c>
      <c r="E4" t="inlineStr">
        <is>
          <t>0</t>
        </is>
      </c>
      <c r="F4" t="inlineStr">
        <is>
          <t>0</t>
        </is>
      </c>
      <c r="G4" t="inlineStr">
        <is>
          <t>Full source-link audit 2026-08-13 (257 URLs) found 15 dead + 8 bot-hostile readable links. This patch replaces dead links with verified alternatives (text-layer checked via pypdf/pymupdf or browser-stack extraction); adds a readable path for A3-09 (was NO_URL); corrects dead DOIs (CORE-06, CORE-15, CORE-20, A4-02); records the local HUI-2024 PDF copy. All replacements reachable 2026-08-13. No rows removed; no existing source cells removed; additive only.</t>
        </is>
      </c>
    </row>
    <row r="5">
      <c r="A5" t="inlineStr">
        <is>
          <t>2026-08-13</t>
        </is>
      </c>
      <c r="B5" t="inlineStr">
        <is>
          <t>Additive patch - batch 1 charting (QC-complete)</t>
        </is>
      </c>
      <c r="C5" t="inlineStr">
        <is>
          <t>CORE-01, CORE-02, CORE-04, CORE-05, CORE-06, CORE-08, A1-01, HUI-2024</t>
        </is>
      </c>
      <c r="D5" t="inlineStr">
        <is>
          <t>None (no schema change; existing charting columns filled)</t>
        </is>
      </c>
      <c r="E5" t="inlineStr">
        <is>
          <t>0</t>
        </is>
      </c>
      <c r="F5" t="inlineStr">
        <is>
          <t>0</t>
        </is>
      </c>
      <c r="G5" t="inlineStr">
        <is>
          <t>First charting pass with full role QC (Evidence Librarian, Methodologist, Cosmotechnic-Purist, Ethics &amp; Cosmotechnic Auditor, Data &amp; Instrumentation Steward, Locus). Citation-is-not-evidence respected; CORE-04 charted via 1994 companion chapter (1997 book is archive-lending only). ess/lim/di filled from [to chart] (additive); seeded Key Finding / Design Implication / Causal Status / Cosmotechnic Implication upgraded to charted text under explicit instruction (CORE-04 causal-&gt;conceptual, CORE-05 causal (lab-bounded), CORE-06 correlational (narrative review); CI revised per Cosmotechnic-Purist). Verif. set to Charted for 8 rows. Access Type updated for CORE-04/05/06/08/A1-01 and A1-01 landing URL corrected to verified Urbanomic publisher page (Brill preview 403) per Evidence Librarian. Locus downgrade tags (supporting weight) added for CORE-01/02/04/06; A1-01 body-claims verification recorded. No rows removed, no formulas or sheets touched, no evidence deleted (repair-not-removal convention as in prior link-replacement patch).</t>
        </is>
      </c>
    </row>
    <row r="6">
      <c r="A6" t="inlineStr">
        <is>
          <t>2026-08-13</t>
        </is>
      </c>
      <c r="B6" t="inlineStr">
        <is>
          <t>Additive patch - batch 2 charting (QC-complete)</t>
        </is>
      </c>
      <c r="C6" t="inlineStr">
        <is>
          <t>CORE-09, CORE-10, CORE-15, A9-01, A9-02, A9-04, A9-05, A9-06</t>
        </is>
      </c>
      <c r="D6" t="inlineStr">
        <is>
          <t>None (no schema change; existing charting columns filled)</t>
        </is>
      </c>
      <c r="E6" t="inlineStr">
        <is>
          <t>0</t>
        </is>
      </c>
      <c r="F6" t="inlineStr">
        <is>
          <t>0</t>
        </is>
      </c>
      <c r="G6" t="inlineStr">
        <is>
          <t>Second charting pass (8-row workday-protocol spine) with role QC (Evidence Librarian, Methodologist, Phenomenologist, Cosmotechnic-Purist, Ethics &amp; Cosmotechnic Auditor, Data &amp; Instrumentation Steward, Locus). Citation-is-not-evidence respected. A9-04, A9-06, CORE-15 charted at abstract level (full text institutional/blocked - caveats recorded); A9-05 via open-access full text; A9-01/A9-02/CORE-09/CORE-10 from full-text PDFs. Verif. set to Charted for 8 rows; Access Type caveats updated where the Librarian directed. No rows removed, no formulas or sheets touched, additive only.</t>
        </is>
      </c>
    </row>
    <row r="7">
      <c r="A7" t="inlineStr">
        <is>
          <t>2026-08-13</t>
        </is>
      </c>
      <c r="B7" t="inlineStr">
        <is>
          <t>Additive patch - batch 3 charting (QC-complete)</t>
        </is>
      </c>
      <c r="C7" t="inlineStr">
        <is>
          <t>CORE-03, CORE-11, CORE-12, CORE-13, CORE-14, CORE-16, CORE-17, CORE-18, CORE-19, CORE-20</t>
        </is>
      </c>
      <c r="D7" t="inlineStr">
        <is>
          <t>None (no schema change; existing charting columns filled)</t>
        </is>
      </c>
      <c r="E7" t="inlineStr">
        <is>
          <t>0</t>
        </is>
      </c>
      <c r="F7" t="inlineStr">
        <is>
          <t>0</t>
        </is>
      </c>
      <c r="G7" t="inlineStr">
        <is>
          <t>Third charting pass (10-row CORE completion spine) with full role QC (Evidence Librarian, Methodologist, Phenomenologist (CORE-16), Cosmotechnic-Purist, Ethics &amp; Cosmotechnic Auditor, Data &amp; Instrumentation Steward, Locus). Fill classification: 0 pure fills; ALL 90 charting-cell writes (kft/ess/lim/di/h1/h2/dimpl/cimpl/cs) are instructed seeded-cell upgrades - every target cell held seed text at patch time (verified pre-patch), replaced by post-QC charting; seeds superseded, not deleted, provenance kept via CHARTED 2026-08-13 batch 3 Discovery Notes marker. Causal Status seed corrections per Methodologist QC: CORE-12 'causal' lab-bounded (animal, catalog-attributed, Tier-P); CORE-13 'causal'-&gt;correlational (narrative review); CORE-17/19/20 'causal'-&gt;conceptual (methods). Evidence Type refinements (CORE-03/11/12/13) and CORE-19 Access Type update per QC instructions. Verif. set to 'Charted - 2026-08-13' on 10 rows. CORE-12 + CORE-17 charted at abstract level (documented decisions - archive lending only; Kazdin 2021 JEAB paywalled). URL repairs classified as improving source links (not deletions): CORE-19 seeded readable PMC5820391 was the WRONG article (Aasdahl 2018) and seeded landing 10.1016/j.cct.2015.07.003 the WRONG article (Broglio et al.) - replaced with verified author-hosted PDF (ambujtewari.com) + doi.org/10.1037/hea0000305; CORE-14 landing dead DOI 019823682X.003.0002 -&gt; 10.1093/analys/58.1.7; CORE-18 readable -&gt; doi.org/10.1037/arc0000026 (version of record). CORE-16 charted from course-hosted full-book mirror (rights caveat; archive lending canonical). CORE-20 audit 404 corrected (PMC2062525 live). Caveat notes appended to 8 rows. No rows removed, no source-URL cells cleared, no formulas or sheets touched, additive only. Dashboard 44 formulas verified intact post-patch.</t>
        </is>
      </c>
    </row>
    <row r="8">
      <c r="A8" t="inlineStr">
        <is>
          <t>2026-08-14</t>
        </is>
      </c>
      <c r="B8" t="inlineStr">
        <is>
          <t>Additive patch - batch 4 charting (QC-complete)</t>
        </is>
      </c>
      <c r="C8" t="inlineStr">
        <is>
          <t>A1-02, A1-03, A1-04, A1-05, A1-06, A1-07, A1-08, A1-09, A1-10, A1-11, A1-12, A1-13, A1-14, A1-15, A1-16, A1-17, A1-18, A1-19</t>
        </is>
      </c>
      <c r="D8" t="inlineStr">
        <is>
          <t>None (no schema change; existing charting columns filled)</t>
        </is>
      </c>
      <c r="E8" t="inlineStr">
        <is>
          <t>0</t>
        </is>
      </c>
      <c r="F8" t="inlineStr">
        <is>
          <t>0</t>
        </is>
      </c>
      <c r="G8" t="inlineStr">
        <is>
          <t>Fourth charting pass (18-row A1 philosophy-of-technology spine) with collapsed role QC (Pip + Locus + Methodologist + Cosmotechnic-Purist + Data Steward; Ethics Auditor on standby). Citation-is-not-evidence respected. Fill classification: 0 pure fills; ALL charting-cell writes are instructed seeded-cell upgrades — every target cell held seed text at [to chart] at patch time (verified by pre-patch matrix dump), replaced by post-QC charting; seeds superseded, not deleted, provenance kept via CHARTED 2026-08-14 batch 4 Discovery Notes marker.
Sub-batch 4a (8 rows): A1-05 Simondon MESO (full text, Univocal 2016 trans.), A1-07 Stiegler T&amp;T1 (image-only — charting supplemented by Philpapers abstract + independent summary; verification debt for full-text institutional copy), A1-02 Hui Cosmotechnics as Cosmopolitics (e-flux full article), A1-15 Heidegger QCT (full text, UCI mirror), A1-11 Winner W&amp;R (image-only — charting supplemented by Chicago UP page + Boundary 2 review + ESTS article; verification debt), A1-18 Haraway Cyborg Manifesto (full text, SFU mirror), A1-12 Latour Missing Masses (synopsis/landing-page only — verification debt for full chapter), A1-04 Hui &amp; Lemmens eds. (TOC + front matter only — verification debt for full introduction).
Sub-batch 4b (10 rows): A1-08 Feenberg Questioning Technology (full text, 263pp, epdf.pub mirror — unauthorized host, research use only), A1-09 Ihde Lifeworld (monoskop EPUB, OCR'd), A1-10 Verbeek What Things Do (partial — 2 core chapters; full book lending-only), A1-03 Hui Art and Cosmotechnics (full text, 341pp, JSTOR-downloaded copy — research use only), A1-13 Borgmann Character of Contemporary Life (full text, 364pp, OceanofPDF mirror — unauthorized host, research use only), A1-14 Mitcham Thinking Through Technology (image-only — verification debt), A1-17 Ellul Technological Society (full text, 503pp, archive.org open scan), A1-16 Mumford Technics and Civilization (image-only — verification debt), A1-06 Simondon Individuation (full text, 743pp, Univocal 2020 Taylor Adkins trans., user-supplied, in copyright), A1-19 Verbeek Moralizing Technology (abstract-level only — archive.org lending-only; verification debt for full book).
Evidence Type refinements: A1-04 review/anthology, A1-14 review/anthology, A1-18 theoretical. Causal Status: all rows confirmed conceptual. Access Type updates: 12 rows updated to reflect actual source status (full text / image-only / partial / abstract-level / research-use-only caveats). Verif. set to 'Charted - 2026-08-14' on 18 rows. Discovery Notes appended with CHARTED 2026-08-14 batch 4 + QC details + verification-debt flags. No rows removed, no source-URL cells cleared, no formulas or sheets touched, additive only. 44 Dashboard formulas verified intact post-patch (loaded without data_only).</t>
        </is>
      </c>
    </row>
    <row r="9">
      <c r="A9" t="inlineStr">
        <is>
          <t>2026-08-14</t>
        </is>
      </c>
      <c r="B9" t="inlineStr">
        <is>
          <t>Additive patch - batch 5 charting (QC-complete)</t>
        </is>
      </c>
      <c r="C9" t="inlineStr">
        <is>
          <t>A5-01, A5-02, A5-03, A5-04, A5-05, A5-06, A8-01, A8-02, A2-01, A2-02, A3-01, A3-02</t>
        </is>
      </c>
      <c r="D9" t="inlineStr">
        <is>
          <t>None (no schema change; existing charting columns filled)</t>
        </is>
      </c>
      <c r="E9" t="inlineStr">
        <is>
          <t>0</t>
        </is>
      </c>
      <c r="F9" t="inlineStr">
        <is>
          <t>0</t>
        </is>
      </c>
      <c r="G9" t="inlineStr">
        <is>
          <t>Fifth charting pass (12 rows: Area 5 phenomenological methods + Area 8 rituals + Area 2/3 personal informatics + agency) with collapsed role QC (Pip + Locus + Methodologist + Cosmotechnic-Purist + Phenomenologist; Ethics Auditor on standby). Citation-is-not-evidence respected. Fill classification: 0 pure fills; ALL charting-cell writes are instructed seeded-cell upgrades.
Area 5 (6 rows): A5-01 Varela Neurophenomenology (full text, JCS 1996), A5-02 Petitmengin Second Person (full text, P&amp;CSc 2006), A5-03 Petitmengin et al. micro-phenomenology (abstract only — verification debt), A5-04 Valenzuela-Moguillansky Analysis Procedure (abstract only, gated — verification debt), A5-05 Hurlburt &amp; Heavey DES (full text, P&amp;CSc 2006), A5-06 Bass-Krueger et al. DES vs MPI (full text, INDECS 2024).
Area 8 (2 rows): A8-01 Hobson et al. Psychology of Rituals (abstract only — verification debt), A8-02 Norton &amp; Gino Rituals Alleviate Grieving (full text, JPSP 2013).
Area 2 (2 rows): A2-01 Li, Dey &amp; Forlizzi Stage-Based Model (full text, CHI 2010), A2-02 Lupton Quantified Self ch.1 (full text, Polity 2018).
Area 3 (2 rows): A3-01 Limerick et al. Agency in HCI (abstract only — verification debt), A3-02 Bennett et al. Agency/Autonomy in HCI (full text, CHI 2023).
Verif. set to 'Charted - 2026-08-14' on 12 rows. Discovery Notes appended with CHARTED 2026-08-14 batch 5 + QC details + verification-debt flags. No rows removed, no source-URL cells cleared, no formulas or sheets touched, additive only. 44 Dashboard formulas verified intact post-patch.</t>
        </is>
      </c>
    </row>
    <row r="10">
      <c r="A10" t="inlineStr">
        <is>
          <t>2026-08-14</t>
        </is>
      </c>
      <c r="B10" t="inlineStr">
        <is>
          <t>Additive patch - batch 5 remaining (QC-complete)</t>
        </is>
      </c>
      <c r="C10" t="inlineStr">
        <is>
          <t>A5-07, A5-08, A5-09, A5-10, A8-03, A8-04, A8-05, A8-06, A8-07, A8-08, A8-09, A8-10, A2-03, A2-04, A2-05, A2-06, A2-07, A2-08, A2-09, A2-10, A3-03, A3-04</t>
        </is>
      </c>
      <c r="D10" t="inlineStr">
        <is>
          <t>None (no schema change; existing charting columns filled)</t>
        </is>
      </c>
      <c r="E10" t="inlineStr">
        <is>
          <t>0</t>
        </is>
      </c>
      <c r="F10" t="inlineStr">
        <is>
          <t>0</t>
        </is>
      </c>
      <c r="G10" t="inlineStr">
        <is>
          <t>Remaining batch 5 rows: Area 5 (A5-07 through A5-10), Area 8 (A8-03 through A8-10), Area 2 (A2-03 through A2-10), Area 3 (A3-03, A3-04). All with collapsed QC + Phenomenologist for Area 5/8.
Area 5: A5-07 Depraz et al. On Becoming Aware (abstract-only, lending), A5-08 Csikszentmihalyi &amp; Larson ESM (abstract-only, subscription), A5-09 Zahavi Subjectivity and Selfhood (abstract-only), A5-10 Gallagher &amp; Zahavi Phenomenological Mind (abstract-only, lending).
Area 8: A8-03 Van Gennep Rites of Passage (abstract-only, lending), A8-04 Turner Ritual Process (abstract-only, lending), A8-05 Bell Ritual Theory Ritual Practice (abstract-only, timed out), A8-06 Xygalatas Ritual 2022 (abstract-only, landing), A8-07 Tian et al. Enacting Rituals (full text, JPSP 2017), A8-08 McCauley &amp; Lawson Bringing Ritual to Mind (abstract-only, lending), A8-09 Durkheim Elementary Forms (public domain, full text), A8-10 Whitehouse Modes of Religiosity (abstract-only, lending).
Area 2: A2-03 Neff &amp; Nafus Self-Tracking (abstract-only, lending), A2-04 Rapp et al. QS/PI Editorial (full text, Springer 2017), A2-05 Grinberg Ethnography of an Interface (abstract-only), A2-06 Sharon Self-Tracking for Health (abstract-only), A2-07 Whittaker QS Critiques (abstract-only), A2-08 Rapp &amp; Tirassa PI for Sport (full text, IRIS postprint), A2-09 Elsden et al. Making Sense of Data (abstract-only), A2-10 Selke Lifelogging (full text, Springer 2016).
Area 3: A3-03 Schroeder et al. Goal-Directed Tracking (abstract-only), A3-04 Baumer &amp; Silberman Non-Design (full text, CHI 2011).
Verif. set to 'Charted - 2026-08-14' on 22 rows. No rows removed, no source-URL cells cleared, no formulas or sheets touched, additive only.</t>
        </is>
      </c>
    </row>
    <row r="11">
      <c r="A11" t="inlineStr">
        <is>
          <t>2026-08-14</t>
        </is>
      </c>
      <c r="B11" t="inlineStr">
        <is>
          <t>Additive patch - batch 5 final (Area 3/4 remaining)</t>
        </is>
      </c>
      <c r="C11" t="inlineStr">
        <is>
          <t>A3-05, A3-06, A3-07, A3-08, A3-09, A3-10, A4-01, A4-02, A4-03, A4-04, A4-05, A4-06, A4-07, A4-08, A4-09, A4-10</t>
        </is>
      </c>
      <c r="D11" t="inlineStr">
        <is>
          <t>None (no schema change; existing charting columns filled)</t>
        </is>
      </c>
      <c r="E11" t="inlineStr">
        <is>
          <t>0</t>
        </is>
      </c>
      <c r="F11" t="inlineStr">
        <is>
          <t>0</t>
        </is>
      </c>
      <c r="G11" t="inlineStr">
        <is>
          <t>Final batch 5 rows: Area 3 (A3-05 through A3-10) and Area 4 (A4-01 through A4-10). All charted at abstract/synopsis level — full text gated, lending-only, or timed out. Verification debts documented.
Area 3: A3-05 Sengers et al. Reflective Design (abstract), A3-06 Bardzell &amp; Bardzell Humanistic HCI (abstract), A3-07 Friedman &amp; Kahn Value Sensitive Design (abstract), A3-08 Light et al. Walkthrough Method (abstract), A3-09 Pierce Undesigning Technology (abstract), A3-10 Rapp &amp; Boldi Persuasive Tech (abstract).
Area 4: A4-01 Kaplan &amp; Kaplan Restorative Environments (abstract), A4-02 Berman et al. Cognitive Benefits of Nature (abstract), A4-03 Scannell &amp; Gifford Place Attachment (abstract), A4-04 Menatti et al. (abstract), A4-05 Yoon et al. (abstract), A4-06 Chang et al. (abstract), A4-07 Hartig et al. PRS (abstract), A4-08 Korpela Restorative Environments (abstract), A4-09 Lewicka Place Attachment 40yr (abstract), A4-10 Gibson Affordances (abstract, lending).
Verif. set to 'Charted - 2026-08-14' on 16 rows. No rows removed, no source-URL cells cleared, no formulas or sheets touched, additive only.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Knapp, Dallas</dc:creator>
  <dcterms:created xsi:type="dcterms:W3CDTF">2026-08-13T14:51:06Z</dcterms:created>
  <dcterms:modified xsi:type="dcterms:W3CDTF">2026-08-14T01:00:37Z</dcterms:modified>
</cp:coreProperties>
</file>